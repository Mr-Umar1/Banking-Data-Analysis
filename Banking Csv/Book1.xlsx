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Python CSV DBS\Banking Csv\"/>
    </mc:Choice>
  </mc:AlternateContent>
  <xr:revisionPtr revIDLastSave="0" documentId="13_ncr:1_{C2F8F5D0-35AE-44B3-9097-B95EFE5054C7}" xr6:coauthVersionLast="47" xr6:coauthVersionMax="47" xr10:uidLastSave="{00000000-0000-0000-0000-000000000000}"/>
  <bookViews>
    <workbookView xWindow="-110" yWindow="-110" windowWidth="19420" windowHeight="10300" xr2:uid="{5D593815-5017-4224-B737-B0554AB5642D}"/>
  </bookViews>
  <sheets>
    <sheet name="Sheet2" sheetId="3" r:id="rId1"/>
    <sheet name="Banking_Data_100_Records" sheetId="2" r:id="rId2"/>
  </sheets>
  <definedNames>
    <definedName name="ExternalData_1" localSheetId="1" hidden="1">Banking_Data_100_Records!$A$1:$R$101</definedName>
  </definedName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8" i="2" l="1"/>
  <c r="B107" i="2"/>
  <c r="B106" i="2"/>
  <c r="B105" i="2"/>
  <c r="B104" i="2"/>
  <c r="AL2" i="2"/>
  <c r="B103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K2" i="2"/>
  <c r="AJ2" i="2"/>
  <c r="AI2" i="2"/>
  <c r="AH2" i="2"/>
  <c r="AG2" i="2"/>
  <c r="AF2" i="2"/>
  <c r="AE2" i="2"/>
  <c r="AD2" i="2"/>
  <c r="AC3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2" i="2"/>
  <c r="Z101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2" i="2"/>
  <c r="X2" i="2" a="1"/>
  <c r="X2" i="2" s="1"/>
  <c r="W2" i="2" a="1"/>
  <c r="W2" i="2" s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2" i="2"/>
  <c r="U100" i="2"/>
  <c r="U101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2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8B8C10-E20C-445E-93C3-A379CC174FDB}" keepAlive="1" name="Query - Banking_Data_100_Records" description="Connection to the 'Banking_Data_100_Records' query in the workbook." type="5" refreshedVersion="8" background="1" saveData="1">
    <dbPr connection="Provider=Microsoft.Mashup.OleDb.1;Data Source=$Workbook$;Location=Banking_Data_100_Records;Extended Properties=&quot;&quot;" command="SELECT * FROM [Banking_Data_100_Record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<sst xmlns="http://schemas.openxmlformats.org/spreadsheetml/2006/main" count="1069" uniqueCount="247">
  <si>
    <t>Customer ID</t>
  </si>
  <si>
    <t>Customer Name</t>
  </si>
  <si>
    <t>Branch</t>
  </si>
  <si>
    <t>Account Type</t>
  </si>
  <si>
    <t>Gender</t>
  </si>
  <si>
    <t>Age</t>
  </si>
  <si>
    <t>Loan Type</t>
  </si>
  <si>
    <t>Loan Amount</t>
  </si>
  <si>
    <t>Interest Rate</t>
  </si>
  <si>
    <t>EMI</t>
  </si>
  <si>
    <t>Salary</t>
  </si>
  <si>
    <t>Credit Score</t>
  </si>
  <si>
    <t>Loan Status</t>
  </si>
  <si>
    <t>Transaction Type</t>
  </si>
  <si>
    <t>Transaction Amount</t>
  </si>
  <si>
    <t>Transaction Date</t>
  </si>
  <si>
    <t>Balance</t>
  </si>
  <si>
    <t>Relationship Manager</t>
  </si>
  <si>
    <t>C001</t>
  </si>
  <si>
    <t>PriyaGupta</t>
  </si>
  <si>
    <t>Bhusawal</t>
  </si>
  <si>
    <t>Savings</t>
  </si>
  <si>
    <t>Female</t>
  </si>
  <si>
    <t>Car</t>
  </si>
  <si>
    <t>Pending</t>
  </si>
  <si>
    <t>Transfer</t>
  </si>
  <si>
    <t>Raj Patil</t>
  </si>
  <si>
    <t>C002</t>
  </si>
  <si>
    <t>SwatiPawar</t>
  </si>
  <si>
    <t>Current</t>
  </si>
  <si>
    <t>Rejected</t>
  </si>
  <si>
    <t>Withdrawal</t>
  </si>
  <si>
    <t>Rohan Sharma</t>
  </si>
  <si>
    <t>C003</t>
  </si>
  <si>
    <t>AnjaliKulkarni</t>
  </si>
  <si>
    <t>Jalgaon</t>
  </si>
  <si>
    <t>Home</t>
  </si>
  <si>
    <t>Approved</t>
  </si>
  <si>
    <t>C004</t>
  </si>
  <si>
    <t>MeenaJoshi</t>
  </si>
  <si>
    <t>Pune</t>
  </si>
  <si>
    <t>Education</t>
  </si>
  <si>
    <t>C005</t>
  </si>
  <si>
    <t>AkashJoshi</t>
  </si>
  <si>
    <t>Deposit</t>
  </si>
  <si>
    <t>Nitin Verma</t>
  </si>
  <si>
    <t>C006</t>
  </si>
  <si>
    <t>PriyaSharma</t>
  </si>
  <si>
    <t>Nashik</t>
  </si>
  <si>
    <t>C007</t>
  </si>
  <si>
    <t>SachinPatil</t>
  </si>
  <si>
    <t>Priya Singh</t>
  </si>
  <si>
    <t>C008</t>
  </si>
  <si>
    <t>SwatiSharma</t>
  </si>
  <si>
    <t>Male</t>
  </si>
  <si>
    <t>C009</t>
  </si>
  <si>
    <t>AmitJoshi</t>
  </si>
  <si>
    <t>Personal</t>
  </si>
  <si>
    <t>C010</t>
  </si>
  <si>
    <t>NehaSharma</t>
  </si>
  <si>
    <t>Sneha Joshi</t>
  </si>
  <si>
    <t>C011</t>
  </si>
  <si>
    <t>AnjaliJoshi</t>
  </si>
  <si>
    <t>C012</t>
  </si>
  <si>
    <t>SnehaSharma</t>
  </si>
  <si>
    <t>C013</t>
  </si>
  <si>
    <t>NitinJoshi</t>
  </si>
  <si>
    <t>C014</t>
  </si>
  <si>
    <t>NehaJoshi</t>
  </si>
  <si>
    <t>C015</t>
  </si>
  <si>
    <t>MeenaPawar</t>
  </si>
  <si>
    <t>Mumbai</t>
  </si>
  <si>
    <t>C016</t>
  </si>
  <si>
    <t>RakeshSharma</t>
  </si>
  <si>
    <t>C017</t>
  </si>
  <si>
    <t>RiyaSingh</t>
  </si>
  <si>
    <t>C018</t>
  </si>
  <si>
    <t>DeepakPatil</t>
  </si>
  <si>
    <t>C019</t>
  </si>
  <si>
    <t>PriyaJoshi</t>
  </si>
  <si>
    <t>C020</t>
  </si>
  <si>
    <t>SachinDeshmukh</t>
  </si>
  <si>
    <t>C021</t>
  </si>
  <si>
    <t>RakeshPawar</t>
  </si>
  <si>
    <t>C022</t>
  </si>
  <si>
    <t>SagarJoshi</t>
  </si>
  <si>
    <t>C023</t>
  </si>
  <si>
    <t>C024</t>
  </si>
  <si>
    <t>KomalVerma</t>
  </si>
  <si>
    <t>C025</t>
  </si>
  <si>
    <t>DeepakDeshmukh</t>
  </si>
  <si>
    <t>C026</t>
  </si>
  <si>
    <t>AkashGupta</t>
  </si>
  <si>
    <t>C027</t>
  </si>
  <si>
    <t>C028</t>
  </si>
  <si>
    <t>SnehaPawar</t>
  </si>
  <si>
    <t>C029</t>
  </si>
  <si>
    <t>RiyaPatil</t>
  </si>
  <si>
    <t>C030</t>
  </si>
  <si>
    <t>NitinYadav</t>
  </si>
  <si>
    <t>C031</t>
  </si>
  <si>
    <t>AkashPawar</t>
  </si>
  <si>
    <t>C032</t>
  </si>
  <si>
    <t>PriyaVerma</t>
  </si>
  <si>
    <t>C033</t>
  </si>
  <si>
    <t>KiranGupta</t>
  </si>
  <si>
    <t>C034</t>
  </si>
  <si>
    <t>RahulDeshmukh</t>
  </si>
  <si>
    <t>C035</t>
  </si>
  <si>
    <t>NitinSharma</t>
  </si>
  <si>
    <t>C036</t>
  </si>
  <si>
    <t>KiranDeshmukh</t>
  </si>
  <si>
    <t>C037</t>
  </si>
  <si>
    <t>C038</t>
  </si>
  <si>
    <t>RahulVerma</t>
  </si>
  <si>
    <t>C039</t>
  </si>
  <si>
    <t>SwatiGupta</t>
  </si>
  <si>
    <t>C040</t>
  </si>
  <si>
    <t>C041</t>
  </si>
  <si>
    <t>AmitPawar</t>
  </si>
  <si>
    <t>C042</t>
  </si>
  <si>
    <t>VikasGupta</t>
  </si>
  <si>
    <t>C043</t>
  </si>
  <si>
    <t>RohitSingh</t>
  </si>
  <si>
    <t>C044</t>
  </si>
  <si>
    <t>PriyaYadav</t>
  </si>
  <si>
    <t>C045</t>
  </si>
  <si>
    <t>RakeshYadav</t>
  </si>
  <si>
    <t>C046</t>
  </si>
  <si>
    <t>VikasDeshmukh</t>
  </si>
  <si>
    <t>C047</t>
  </si>
  <si>
    <t>C048</t>
  </si>
  <si>
    <t>DeepakYadav</t>
  </si>
  <si>
    <t>C049</t>
  </si>
  <si>
    <t>RakeshGupta</t>
  </si>
  <si>
    <t>C050</t>
  </si>
  <si>
    <t>AmitYadav</t>
  </si>
  <si>
    <t>C051</t>
  </si>
  <si>
    <t>AmitGupta</t>
  </si>
  <si>
    <t>C052</t>
  </si>
  <si>
    <t>SnehaDeshmukh</t>
  </si>
  <si>
    <t>C053</t>
  </si>
  <si>
    <t>AkashSharma</t>
  </si>
  <si>
    <t>C054</t>
  </si>
  <si>
    <t>C055</t>
  </si>
  <si>
    <t>KiranJoshi</t>
  </si>
  <si>
    <t>C056</t>
  </si>
  <si>
    <t>SnehaSingh</t>
  </si>
  <si>
    <t>C057</t>
  </si>
  <si>
    <t>SachinGupta</t>
  </si>
  <si>
    <t>C058</t>
  </si>
  <si>
    <t>C059</t>
  </si>
  <si>
    <t>KomalKulkarni</t>
  </si>
  <si>
    <t>C060</t>
  </si>
  <si>
    <t>RahulSingh</t>
  </si>
  <si>
    <t>C061</t>
  </si>
  <si>
    <t>RahulPatil</t>
  </si>
  <si>
    <t>C062</t>
  </si>
  <si>
    <t>SachinSingh</t>
  </si>
  <si>
    <t>C063</t>
  </si>
  <si>
    <t>MeenaVerma</t>
  </si>
  <si>
    <t>C064</t>
  </si>
  <si>
    <t>MeenaDeshmukh</t>
  </si>
  <si>
    <t>C065</t>
  </si>
  <si>
    <t>SachinVerma</t>
  </si>
  <si>
    <t>C066</t>
  </si>
  <si>
    <t>RiyaSharma</t>
  </si>
  <si>
    <t>C067</t>
  </si>
  <si>
    <t>AnjaliVerma</t>
  </si>
  <si>
    <t>C068</t>
  </si>
  <si>
    <t>AnjaliPatil</t>
  </si>
  <si>
    <t>C069</t>
  </si>
  <si>
    <t>KiranSharma</t>
  </si>
  <si>
    <t>C070</t>
  </si>
  <si>
    <t>C071</t>
  </si>
  <si>
    <t>C072</t>
  </si>
  <si>
    <t>NehaGupta</t>
  </si>
  <si>
    <t>C073</t>
  </si>
  <si>
    <t>KomalSharma</t>
  </si>
  <si>
    <t>C074</t>
  </si>
  <si>
    <t>AkashYadav</t>
  </si>
  <si>
    <t>C075</t>
  </si>
  <si>
    <t>C076</t>
  </si>
  <si>
    <t>NitinPawar</t>
  </si>
  <si>
    <t>C077</t>
  </si>
  <si>
    <t>C078</t>
  </si>
  <si>
    <t>KomalPatil</t>
  </si>
  <si>
    <t>C079</t>
  </si>
  <si>
    <t>SagarSharma</t>
  </si>
  <si>
    <t>C080</t>
  </si>
  <si>
    <t>C081</t>
  </si>
  <si>
    <t>KiranSingh</t>
  </si>
  <si>
    <t>C082</t>
  </si>
  <si>
    <t>AkashVerma</t>
  </si>
  <si>
    <t>C083</t>
  </si>
  <si>
    <t>SachinKulkarni</t>
  </si>
  <si>
    <t>C084</t>
  </si>
  <si>
    <t>C085</t>
  </si>
  <si>
    <t>C086</t>
  </si>
  <si>
    <t>SwatiKulkarni</t>
  </si>
  <si>
    <t>C087</t>
  </si>
  <si>
    <t>PoojaSingh</t>
  </si>
  <si>
    <t>C088</t>
  </si>
  <si>
    <t>RiyaDeshmukh</t>
  </si>
  <si>
    <t>C089</t>
  </si>
  <si>
    <t>C090</t>
  </si>
  <si>
    <t>PoojaKulkarni</t>
  </si>
  <si>
    <t>C091</t>
  </si>
  <si>
    <t>DeepakJoshi</t>
  </si>
  <si>
    <t>C092</t>
  </si>
  <si>
    <t>C093</t>
  </si>
  <si>
    <t>C094</t>
  </si>
  <si>
    <t>SagarPatil</t>
  </si>
  <si>
    <t>C095</t>
  </si>
  <si>
    <t>C096</t>
  </si>
  <si>
    <t>C097</t>
  </si>
  <si>
    <t>C098</t>
  </si>
  <si>
    <t>NitinDeshmukh</t>
  </si>
  <si>
    <t>C099</t>
  </si>
  <si>
    <t>C100</t>
  </si>
  <si>
    <t>RahulYadav</t>
  </si>
  <si>
    <t>IF Function</t>
  </si>
  <si>
    <t>Nested If</t>
  </si>
  <si>
    <t>And Function</t>
  </si>
  <si>
    <t>OR</t>
  </si>
  <si>
    <t>Sumif</t>
  </si>
  <si>
    <t>Sumifs</t>
  </si>
  <si>
    <t>Countif</t>
  </si>
  <si>
    <t>Countifs</t>
  </si>
  <si>
    <t>Average If</t>
  </si>
  <si>
    <t>Averageifs</t>
  </si>
  <si>
    <t>Vlookup</t>
  </si>
  <si>
    <t>Xlookup</t>
  </si>
  <si>
    <t>Home Total</t>
  </si>
  <si>
    <t>Loan Amount Pune</t>
  </si>
  <si>
    <t>Number of customer credit score</t>
  </si>
  <si>
    <t>Row Labels</t>
  </si>
  <si>
    <t>Grand Total</t>
  </si>
  <si>
    <t>(All)</t>
  </si>
  <si>
    <t>Sum of Loan Amount</t>
  </si>
  <si>
    <t>Count of Customer Name</t>
  </si>
  <si>
    <t>Sum of Interest Rate</t>
  </si>
  <si>
    <t>Sum of EMI</t>
  </si>
  <si>
    <t>Sum of Salary</t>
  </si>
  <si>
    <t>Sum of Credit Score</t>
  </si>
  <si>
    <t>Sum of Transaction Amount</t>
  </si>
  <si>
    <t>Sum of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</si>
</sst>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Font="1" applyBorder="1"/>
    <xf numFmtId="0" fontId="0" fillId="2" borderId="2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2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37.830643634261" createdVersion="8" refreshedVersion="8" minRefreshableVersion="3" recordCount="100" xr:uid="{216FE467-02BF-48F7-8396-01DDAE801D38}">
  <cacheSource type="worksheet">
    <worksheetSource name="Banking_Data_100_Records"/>
  </cacheSource>
  <cacheFields count="18">
    <cacheField name="Customer ID" numFmtId="0">
      <sharedItems count="10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</sharedItems>
    </cacheField>
    <cacheField name="Customer Name" numFmtId="0">
      <sharedItems count="79">
        <s v="PriyaGupta"/>
        <s v="SwatiPawar"/>
        <s v="AnjaliKulkarni"/>
        <s v="MeenaJoshi"/>
        <s v="AkashJoshi"/>
        <s v="PriyaSharma"/>
        <s v="SachinPatil"/>
        <s v="SwatiSharma"/>
        <s v="AmitJoshi"/>
        <s v="NehaSharma"/>
        <s v="AnjaliJoshi"/>
        <s v="SnehaSharma"/>
        <s v="NitinJoshi"/>
        <s v="NehaJoshi"/>
        <s v="MeenaPawar"/>
        <s v="RakeshSharma"/>
        <s v="RiyaSingh"/>
        <s v="DeepakPatil"/>
        <s v="PriyaJoshi"/>
        <s v="SachinDeshmukh"/>
        <s v="RakeshPawar"/>
        <s v="SagarJoshi"/>
        <s v="KomalVerma"/>
        <s v="DeepakDeshmukh"/>
        <s v="AkashGupta"/>
        <s v="SnehaPawar"/>
        <s v="RiyaPatil"/>
        <s v="NitinYadav"/>
        <s v="AkashPawar"/>
        <s v="PriyaVerma"/>
        <s v="KiranGupta"/>
        <s v="RahulDeshmukh"/>
        <s v="NitinSharma"/>
        <s v="KiranDeshmukh"/>
        <s v="RahulVerma"/>
        <s v="SwatiGupta"/>
        <s v="AmitPawar"/>
        <s v="VikasGupta"/>
        <s v="RohitSingh"/>
        <s v="PriyaYadav"/>
        <s v="RakeshYadav"/>
        <s v="VikasDeshmukh"/>
        <s v="DeepakYadav"/>
        <s v="RakeshGupta"/>
        <s v="AmitYadav"/>
        <s v="AmitGupta"/>
        <s v="SnehaDeshmukh"/>
        <s v="AkashSharma"/>
        <s v="KiranJoshi"/>
        <s v="SnehaSingh"/>
        <s v="SachinGupta"/>
        <s v="KomalKulkarni"/>
        <s v="RahulSingh"/>
        <s v="RahulPatil"/>
        <s v="SachinSingh"/>
        <s v="MeenaVerma"/>
        <s v="MeenaDeshmukh"/>
        <s v="SachinVerma"/>
        <s v="RiyaSharma"/>
        <s v="AnjaliVerma"/>
        <s v="AnjaliPatil"/>
        <s v="KiranSharma"/>
        <s v="NehaGupta"/>
        <s v="KomalSharma"/>
        <s v="AkashYadav"/>
        <s v="NitinPawar"/>
        <s v="KomalPatil"/>
        <s v="SagarSharma"/>
        <s v="KiranSingh"/>
        <s v="AkashVerma"/>
        <s v="SachinKulkarni"/>
        <s v="SwatiKulkarni"/>
        <s v="PoojaSingh"/>
        <s v="RiyaDeshmukh"/>
        <s v="PoojaKulkarni"/>
        <s v="DeepakJoshi"/>
        <s v="SagarPatil"/>
        <s v="NitinDeshmukh"/>
        <s v="RahulYadav"/>
      </sharedItems>
    </cacheField>
    <cacheField name="Branch" numFmtId="0">
      <sharedItems count="5">
        <s v="Bhusawal"/>
        <s v="Jalgaon"/>
        <s v="Pune"/>
        <s v="Nashik"/>
        <s v="Mumbai"/>
      </sharedItems>
    </cacheField>
    <cacheField name="Account Type" numFmtId="0">
      <sharedItems count="2">
        <s v="Savings"/>
        <s v="Current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1" maxValue="60"/>
    </cacheField>
    <cacheField name="Loan Type" numFmtId="0">
      <sharedItems/>
    </cacheField>
    <cacheField name="Loan Amount" numFmtId="0">
      <sharedItems containsSemiMixedTypes="0" containsString="0" containsNumber="1" containsInteger="1" minValue="75000" maxValue="1995000" count="90">
        <n v="1410000"/>
        <n v="970000"/>
        <n v="975000"/>
        <n v="340000"/>
        <n v="1470000"/>
        <n v="1590000"/>
        <n v="1820000"/>
        <n v="150000"/>
        <n v="1275000"/>
        <n v="795000"/>
        <n v="1060000"/>
        <n v="905000"/>
        <n v="415000"/>
        <n v="1025000"/>
        <n v="465000"/>
        <n v="1255000"/>
        <n v="1445000"/>
        <n v="85000"/>
        <n v="1850000"/>
        <n v="1190000"/>
        <n v="1040000"/>
        <n v="1150000"/>
        <n v="995000"/>
        <n v="1830000"/>
        <n v="1500000"/>
        <n v="1475000"/>
        <n v="890000"/>
        <n v="935000"/>
        <n v="305000"/>
        <n v="1925000"/>
        <n v="350000"/>
        <n v="1795000"/>
        <n v="865000"/>
        <n v="940000"/>
        <n v="835000"/>
        <n v="1230000"/>
        <n v="1220000"/>
        <n v="1935000"/>
        <n v="555000"/>
        <n v="655000"/>
        <n v="750000"/>
        <n v="1495000"/>
        <n v="670000"/>
        <n v="100000"/>
        <n v="1480000"/>
        <n v="75000"/>
        <n v="780000"/>
        <n v="235000"/>
        <n v="1065000"/>
        <n v="105000"/>
        <n v="1140000"/>
        <n v="620000"/>
        <n v="1325000"/>
        <n v="410000"/>
        <n v="1860000"/>
        <n v="650000"/>
        <n v="1215000"/>
        <n v="1310000"/>
        <n v="1670000"/>
        <n v="810000"/>
        <n v="1940000"/>
        <n v="1070000"/>
        <n v="1490000"/>
        <n v="1985000"/>
        <n v="1980000"/>
        <n v="805000"/>
        <n v="1950000"/>
        <n v="1790000"/>
        <n v="730000"/>
        <n v="1515000"/>
        <n v="1485000"/>
        <n v="710000"/>
        <n v="1320000"/>
        <n v="170000"/>
        <n v="1305000"/>
        <n v="515000"/>
        <n v="790000"/>
        <n v="90000"/>
        <n v="1395000"/>
        <n v="1525000"/>
        <n v="1270000"/>
        <n v="1195000"/>
        <n v="815000"/>
        <n v="310000"/>
        <n v="1380000"/>
        <n v="745000"/>
        <n v="1995000"/>
        <n v="1360000"/>
        <n v="900000"/>
        <n v="285000"/>
      </sharedItems>
    </cacheField>
    <cacheField name="Interest Rate" numFmtId="0">
      <sharedItems containsSemiMixedTypes="0" containsString="0" containsNumber="1" minValue="7.19" maxValue="13.92" count="92">
        <n v="10.88"/>
        <n v="9.9600000000000009"/>
        <n v="13.4"/>
        <n v="12.64"/>
        <n v="10.48"/>
        <n v="10.1"/>
        <n v="11.05"/>
        <n v="8.6999999999999993"/>
        <n v="10.55"/>
        <n v="11.1"/>
        <n v="13.73"/>
        <n v="8.85"/>
        <n v="12.26"/>
        <n v="9.42"/>
        <n v="10.64"/>
        <n v="9.19"/>
        <n v="13.89"/>
        <n v="8.91"/>
        <n v="8.65"/>
        <n v="9.76"/>
        <n v="8.6300000000000008"/>
        <n v="7.38"/>
        <n v="8.74"/>
        <n v="12.65"/>
        <n v="13.71"/>
        <n v="9.34"/>
        <n v="8.4"/>
        <n v="12.23"/>
        <n v="13.51"/>
        <n v="11.8"/>
        <n v="8.94"/>
        <n v="8.66"/>
        <n v="10.7"/>
        <n v="11.12"/>
        <n v="12.6"/>
        <n v="12.92"/>
        <n v="12.67"/>
        <n v="7.49"/>
        <n v="12.49"/>
        <n v="9.6"/>
        <n v="12.31"/>
        <n v="11.83"/>
        <n v="11.54"/>
        <n v="9.1199999999999992"/>
        <n v="11.43"/>
        <n v="8.98"/>
        <n v="9.84"/>
        <n v="9.64"/>
        <n v="11.37"/>
        <n v="9.94"/>
        <n v="8.9700000000000006"/>
        <n v="7.21"/>
        <n v="9.49"/>
        <n v="8.5299999999999994"/>
        <n v="10.99"/>
        <n v="8.86"/>
        <n v="10.86"/>
        <n v="11.06"/>
        <n v="12.9"/>
        <n v="11.85"/>
        <n v="13.64"/>
        <n v="11.11"/>
        <n v="8.81"/>
        <n v="10.93"/>
        <n v="10.83"/>
        <n v="13.1"/>
        <n v="10.76"/>
        <n v="8.4700000000000006"/>
        <n v="7.48"/>
        <n v="13.67"/>
        <n v="12.99"/>
        <n v="10"/>
        <n v="8.3000000000000007"/>
        <n v="9.08"/>
        <n v="13.62"/>
        <n v="11.73"/>
        <n v="10.94"/>
        <n v="9.07"/>
        <n v="8.61"/>
        <n v="13.92"/>
        <n v="7.44"/>
        <n v="13.21"/>
        <n v="7.19"/>
        <n v="11.41"/>
        <n v="10.8"/>
        <n v="12.4"/>
        <n v="9.8000000000000007"/>
        <n v="9.91"/>
        <n v="10.89"/>
        <n v="11.81"/>
        <n v="12.09"/>
        <n v="11.84"/>
      </sharedItems>
    </cacheField>
    <cacheField name="EMI" numFmtId="0">
      <sharedItems containsSemiMixedTypes="0" containsString="0" containsNumber="1" minValue="1811.25" maxValue="54615" count="100">
        <n v="36284"/>
        <n v="24217.67"/>
        <n v="27137.5"/>
        <n v="9248"/>
        <n v="37338"/>
        <n v="39882.5"/>
        <n v="47092.5"/>
        <n v="3587.5"/>
        <n v="32459.38"/>
        <n v="20603.75"/>
        <n v="29794.83"/>
        <n v="21757.71"/>
        <n v="11156.58"/>
        <n v="25129.58"/>
        <n v="11873"/>
        <n v="30527.88"/>
        <n v="40809.21"/>
        <n v="2047.79"/>
        <n v="44168.75"/>
        <n v="29512"/>
        <n v="24812.67"/>
        <n v="26239.17"/>
        <n v="23830.25"/>
        <n v="49791.25"/>
        <n v="42137.5"/>
        <n v="36063.75"/>
        <n v="21063.33"/>
        <n v="25112.54"/>
        <n v="8517.1200000000008"/>
        <n v="51012.5"/>
        <n v="24719.58"/>
        <n v="8359.17"/>
        <n v="45922.080000000002"/>
        <n v="19736.419999999998"/>
        <n v="24377.33"/>
        <n v="22684.17"/>
        <n v="34235"/>
        <n v="33468.67"/>
        <n v="52680.38"/>
        <n v="12714.12"/>
        <n v="17734.12"/>
        <n v="18500"/>
        <n v="40252.879999999997"/>
        <n v="27188.12"/>
        <n v="17609.830000000002"/>
        <n v="2426.67"/>
        <n v="38763.67"/>
        <n v="1811.25"/>
        <n v="35062"/>
        <n v="19266"/>
        <n v="6143.29"/>
        <n v="26571.75"/>
        <n v="26521.88"/>
        <n v="2534.88"/>
        <n v="25849.5"/>
        <n v="15236.5"/>
        <n v="31501.88"/>
        <n v="10588.25"/>
        <n v="44733"/>
        <n v="16715.830000000002"/>
        <n v="31448.25"/>
        <n v="35915.83"/>
        <n v="44324.58"/>
        <n v="22707"/>
        <n v="50294.5"/>
        <n v="25688.92"/>
        <n v="38404.75"/>
        <n v="50997.96"/>
        <n v="54615"/>
        <n v="20634.830000000002"/>
        <n v="46263.75"/>
        <n v="40991"/>
        <n v="20482.580000000002"/>
        <n v="41649.879999999997"/>
        <n v="37125"/>
        <n v="16951.25"/>
        <n v="31130"/>
        <n v="4119.67"/>
        <n v="36561.75"/>
        <n v="13617.46"/>
        <n v="20368.830000000002"/>
        <n v="2211.75"/>
        <n v="33793.879999999997"/>
        <n v="36358.54"/>
        <n v="27560"/>
        <n v="29040.67"/>
        <n v="51133.5"/>
        <n v="33071.620000000003"/>
        <n v="18466.54"/>
        <n v="8114.25"/>
        <n v="35719"/>
        <n v="19121.669999999998"/>
        <n v="53865"/>
        <n v="33773.33"/>
        <n v="22432.5"/>
        <n v="35523.5"/>
        <n v="7554.88"/>
        <n v="35227.919999999998"/>
        <n v="51745.120000000003"/>
        <n v="22951.33"/>
      </sharedItems>
    </cacheField>
    <cacheField name="Salary" numFmtId="0">
      <sharedItems containsSemiMixedTypes="0" containsString="0" containsNumber="1" containsInteger="1" minValue="20000" maxValue="150000" count="74">
        <n v="23000"/>
        <n v="43000"/>
        <n v="82000"/>
        <n v="142000"/>
        <n v="100000"/>
        <n v="96000"/>
        <n v="92000"/>
        <n v="123000"/>
        <n v="99000"/>
        <n v="121000"/>
        <n v="128000"/>
        <n v="67000"/>
        <n v="118000"/>
        <n v="27000"/>
        <n v="84000"/>
        <n v="26000"/>
        <n v="50000"/>
        <n v="104000"/>
        <n v="64000"/>
        <n v="42000"/>
        <n v="110000"/>
        <n v="148000"/>
        <n v="24000"/>
        <n v="51000"/>
        <n v="107000"/>
        <n v="63000"/>
        <n v="138000"/>
        <n v="88000"/>
        <n v="47000"/>
        <n v="83000"/>
        <n v="95000"/>
        <n v="69000"/>
        <n v="133000"/>
        <n v="36000"/>
        <n v="62000"/>
        <n v="150000"/>
        <n v="68000"/>
        <n v="89000"/>
        <n v="85000"/>
        <n v="52000"/>
        <n v="139000"/>
        <n v="46000"/>
        <n v="20000"/>
        <n v="111000"/>
        <n v="22000"/>
        <n v="28000"/>
        <n v="58000"/>
        <n v="57000"/>
        <n v="132000"/>
        <n v="144000"/>
        <n v="94000"/>
        <n v="59000"/>
        <n v="81000"/>
        <n v="120000"/>
        <n v="129000"/>
        <n v="48000"/>
        <n v="147000"/>
        <n v="134000"/>
        <n v="44000"/>
        <n v="87000"/>
        <n v="29000"/>
        <n v="131000"/>
        <n v="55000"/>
        <n v="136000"/>
        <n v="113000"/>
        <n v="114000"/>
        <n v="56000"/>
        <n v="45000"/>
        <n v="40000"/>
        <n v="108000"/>
        <n v="31000"/>
        <n v="135000"/>
        <n v="93000"/>
        <n v="117000"/>
      </sharedItems>
    </cacheField>
    <cacheField name="Credit Score" numFmtId="0">
      <sharedItems containsSemiMixedTypes="0" containsString="0" containsNumber="1" containsInteger="1" minValue="352" maxValue="889" count="91">
        <n v="519"/>
        <n v="577"/>
        <n v="735"/>
        <n v="792"/>
        <n v="593"/>
        <n v="757"/>
        <n v="367"/>
        <n v="796"/>
        <n v="610"/>
        <n v="688"/>
        <n v="361"/>
        <n v="711"/>
        <n v="524"/>
        <n v="588"/>
        <n v="727"/>
        <n v="352"/>
        <n v="380"/>
        <n v="627"/>
        <n v="653"/>
        <n v="395"/>
        <n v="442"/>
        <n v="421"/>
        <n v="603"/>
        <n v="389"/>
        <n v="888"/>
        <n v="622"/>
        <n v="368"/>
        <n v="824"/>
        <n v="695"/>
        <n v="456"/>
        <n v="889"/>
        <n v="660"/>
        <n v="710"/>
        <n v="573"/>
        <n v="590"/>
        <n v="648"/>
        <n v="689"/>
        <n v="848"/>
        <n v="725"/>
        <n v="354"/>
        <n v="547"/>
        <n v="561"/>
        <n v="473"/>
        <n v="850"/>
        <n v="805"/>
        <n v="516"/>
        <n v="741"/>
        <n v="576"/>
        <n v="356"/>
        <n v="550"/>
        <n v="714"/>
        <n v="862"/>
        <n v="640"/>
        <n v="633"/>
        <n v="517"/>
        <n v="539"/>
        <n v="494"/>
        <n v="787"/>
        <n v="834"/>
        <n v="355"/>
        <n v="846"/>
        <n v="497"/>
        <n v="396"/>
        <n v="811"/>
        <n v="357"/>
        <n v="480"/>
        <n v="434"/>
        <n v="718"/>
        <n v="657"/>
        <n v="790"/>
        <n v="881"/>
        <n v="762"/>
        <n v="415"/>
        <n v="482"/>
        <n v="819"/>
        <n v="778"/>
        <n v="369"/>
        <n v="464"/>
        <n v="413"/>
        <n v="412"/>
        <n v="540"/>
        <n v="761"/>
        <n v="407"/>
        <n v="789"/>
        <n v="724"/>
        <n v="641"/>
        <n v="399"/>
        <n v="476"/>
        <n v="876"/>
        <n v="632"/>
        <n v="401"/>
      </sharedItems>
    </cacheField>
    <cacheField name="Loan Status" numFmtId="0">
      <sharedItems/>
    </cacheField>
    <cacheField name="Transaction Type" numFmtId="0">
      <sharedItems/>
    </cacheField>
    <cacheField name="Transaction Amount" numFmtId="0">
      <sharedItems containsSemiMixedTypes="0" containsString="0" containsNumber="1" containsInteger="1" minValue="1500" maxValue="200000" count="88">
        <n v="102000"/>
        <n v="47500"/>
        <n v="6500"/>
        <n v="39500"/>
        <n v="106500"/>
        <n v="93000"/>
        <n v="21500"/>
        <n v="129000"/>
        <n v="139000"/>
        <n v="191500"/>
        <n v="35500"/>
        <n v="179000"/>
        <n v="111500"/>
        <n v="13500"/>
        <n v="190500"/>
        <n v="38000"/>
        <n v="172000"/>
        <n v="18000"/>
        <n v="150000"/>
        <n v="9000"/>
        <n v="17500"/>
        <n v="151000"/>
        <n v="94500"/>
        <n v="59000"/>
        <n v="147500"/>
        <n v="44500"/>
        <n v="137000"/>
        <n v="109000"/>
        <n v="100500"/>
        <n v="159000"/>
        <n v="12500"/>
        <n v="134000"/>
        <n v="20000"/>
        <n v="24000"/>
        <n v="121000"/>
        <n v="77500"/>
        <n v="14500"/>
        <n v="45500"/>
        <n v="34500"/>
        <n v="113500"/>
        <n v="16000"/>
        <n v="197000"/>
        <n v="75000"/>
        <n v="25500"/>
        <n v="47000"/>
        <n v="174500"/>
        <n v="192500"/>
        <n v="188500"/>
        <n v="151500"/>
        <n v="69500"/>
        <n v="1500"/>
        <n v="100000"/>
        <n v="64000"/>
        <n v="104500"/>
        <n v="140000"/>
        <n v="62500"/>
        <n v="127500"/>
        <n v="198500"/>
        <n v="48000"/>
        <n v="175000"/>
        <n v="182500"/>
        <n v="147000"/>
        <n v="102500"/>
        <n v="30000"/>
        <n v="105000"/>
        <n v="32500"/>
        <n v="187000"/>
        <n v="33000"/>
        <n v="43000"/>
        <n v="169500"/>
        <n v="160500"/>
        <n v="30500"/>
        <n v="35000"/>
        <n v="14000"/>
        <n v="189500"/>
        <n v="26500"/>
        <n v="10500"/>
        <n v="34000"/>
        <n v="172500"/>
        <n v="200000"/>
        <n v="106000"/>
        <n v="91000"/>
        <n v="28500"/>
        <n v="65500"/>
        <n v="3000"/>
        <n v="162500"/>
        <n v="79500"/>
        <n v="28000"/>
      </sharedItems>
    </cacheField>
    <cacheField name="Transaction Date" numFmtId="14">
      <sharedItems containsSemiMixedTypes="0" containsNonDate="0" containsDate="1" containsString="0" minDate="2025-01-04T00:00:00" maxDate="2025-12-26T00:00:00"/>
    </cacheField>
    <cacheField name="Balance" numFmtId="0">
      <sharedItems containsSemiMixedTypes="0" containsString="0" containsNumber="1" containsInteger="1" minValue="5000" maxValue="998000" count="95">
        <n v="917000"/>
        <n v="730000"/>
        <n v="295000"/>
        <n v="790000"/>
        <n v="255000"/>
        <n v="498000"/>
        <n v="7000"/>
        <n v="598000"/>
        <n v="5000"/>
        <n v="988000"/>
        <n v="72000"/>
        <n v="578000"/>
        <n v="51000"/>
        <n v="258000"/>
        <n v="55000"/>
        <n v="756000"/>
        <n v="63000"/>
        <n v="114000"/>
        <n v="930000"/>
        <n v="926000"/>
        <n v="408000"/>
        <n v="195000"/>
        <n v="296000"/>
        <n v="309000"/>
        <n v="802000"/>
        <n v="796000"/>
        <n v="417000"/>
        <n v="188000"/>
        <n v="283000"/>
        <n v="405000"/>
        <n v="667000"/>
        <n v="878000"/>
        <n v="998000"/>
        <n v="700000"/>
        <n v="525000"/>
        <n v="442000"/>
        <n v="608000"/>
        <n v="669000"/>
        <n v="185000"/>
        <n v="798000"/>
        <n v="101000"/>
        <n v="694000"/>
        <n v="138000"/>
        <n v="549000"/>
        <n v="726000"/>
        <n v="323000"/>
        <n v="752000"/>
        <n v="30000"/>
        <n v="25000"/>
        <n v="428000"/>
        <n v="784000"/>
        <n v="352000"/>
        <n v="683000"/>
        <n v="383000"/>
        <n v="154000"/>
        <n v="413000"/>
        <n v="62000"/>
        <n v="445000"/>
        <n v="484000"/>
        <n v="382000"/>
        <n v="602000"/>
        <n v="453000"/>
        <n v="34000"/>
        <n v="501000"/>
        <n v="750000"/>
        <n v="920000"/>
        <n v="942000"/>
        <n v="813000"/>
        <n v="633000"/>
        <n v="459000"/>
        <n v="390000"/>
        <n v="162000"/>
        <n v="469000"/>
        <n v="315000"/>
        <n v="183000"/>
        <n v="817000"/>
        <n v="338000"/>
        <n v="449000"/>
        <n v="770000"/>
        <n v="376000"/>
        <n v="245000"/>
        <n v="216000"/>
        <n v="256000"/>
        <n v="793000"/>
        <n v="105000"/>
        <n v="712000"/>
        <n v="107000"/>
        <n v="47000"/>
        <n v="807000"/>
        <n v="611000"/>
        <n v="618000"/>
        <n v="640000"/>
        <n v="270000"/>
        <n v="735000"/>
        <n v="975000"/>
      </sharedItems>
    </cacheField>
    <cacheField name="Relationship Manager" numFmtId="0">
      <sharedItems count="5">
        <s v="Raj Patil"/>
        <s v="Rohan Sharma"/>
        <s v="Nitin Verma"/>
        <s v="Priya Singh"/>
        <s v="Sneha Josh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s v="Female"/>
    <n v="59"/>
    <s v="Car"/>
    <x v="0"/>
    <x v="0"/>
    <x v="0"/>
    <x v="0"/>
    <x v="0"/>
    <s v="Pending"/>
    <s v="Transfer"/>
    <x v="0"/>
    <d v="2025-09-11T00:00:00"/>
    <x v="0"/>
    <x v="0"/>
  </r>
  <r>
    <x v="1"/>
    <x v="1"/>
    <x v="0"/>
    <x v="1"/>
    <s v="Female"/>
    <n v="32"/>
    <s v="Car"/>
    <x v="1"/>
    <x v="1"/>
    <x v="1"/>
    <x v="1"/>
    <x v="1"/>
    <s v="Rejected"/>
    <s v="Withdrawal"/>
    <x v="1"/>
    <d v="2025-12-12T00:00:00"/>
    <x v="1"/>
    <x v="1"/>
  </r>
  <r>
    <x v="2"/>
    <x v="2"/>
    <x v="1"/>
    <x v="0"/>
    <s v="Female"/>
    <n v="49"/>
    <s v="Home"/>
    <x v="2"/>
    <x v="2"/>
    <x v="2"/>
    <x v="2"/>
    <x v="2"/>
    <s v="Approved"/>
    <s v="Transfer"/>
    <x v="2"/>
    <d v="2025-11-04T00:00:00"/>
    <x v="2"/>
    <x v="0"/>
  </r>
  <r>
    <x v="3"/>
    <x v="3"/>
    <x v="2"/>
    <x v="0"/>
    <s v="Female"/>
    <n v="28"/>
    <s v="Education"/>
    <x v="3"/>
    <x v="3"/>
    <x v="3"/>
    <x v="3"/>
    <x v="3"/>
    <s v="Approved"/>
    <s v="Withdrawal"/>
    <x v="3"/>
    <d v="2025-06-03T00:00:00"/>
    <x v="3"/>
    <x v="0"/>
  </r>
  <r>
    <x v="4"/>
    <x v="4"/>
    <x v="1"/>
    <x v="0"/>
    <s v="Female"/>
    <n v="24"/>
    <s v="Home"/>
    <x v="4"/>
    <x v="4"/>
    <x v="4"/>
    <x v="4"/>
    <x v="4"/>
    <s v="Pending"/>
    <s v="Deposit"/>
    <x v="4"/>
    <d v="2025-05-29T00:00:00"/>
    <x v="4"/>
    <x v="2"/>
  </r>
  <r>
    <x v="5"/>
    <x v="5"/>
    <x v="3"/>
    <x v="1"/>
    <s v="Female"/>
    <n v="54"/>
    <s v="Education"/>
    <x v="5"/>
    <x v="5"/>
    <x v="5"/>
    <x v="5"/>
    <x v="5"/>
    <s v="Approved"/>
    <s v="Withdrawal"/>
    <x v="5"/>
    <d v="2025-01-05T00:00:00"/>
    <x v="5"/>
    <x v="0"/>
  </r>
  <r>
    <x v="6"/>
    <x v="6"/>
    <x v="2"/>
    <x v="1"/>
    <s v="Female"/>
    <n v="59"/>
    <s v="Car"/>
    <x v="6"/>
    <x v="6"/>
    <x v="6"/>
    <x v="6"/>
    <x v="0"/>
    <s v="Pending"/>
    <s v="Transfer"/>
    <x v="6"/>
    <d v="2025-11-30T00:00:00"/>
    <x v="6"/>
    <x v="3"/>
  </r>
  <r>
    <x v="7"/>
    <x v="7"/>
    <x v="2"/>
    <x v="1"/>
    <s v="Male"/>
    <n v="41"/>
    <s v="Home"/>
    <x v="7"/>
    <x v="7"/>
    <x v="7"/>
    <x v="7"/>
    <x v="6"/>
    <s v="Pending"/>
    <s v="Deposit"/>
    <x v="7"/>
    <d v="2025-02-09T00:00:00"/>
    <x v="7"/>
    <x v="0"/>
  </r>
  <r>
    <x v="8"/>
    <x v="8"/>
    <x v="3"/>
    <x v="1"/>
    <s v="Male"/>
    <n v="58"/>
    <s v="Personal"/>
    <x v="8"/>
    <x v="8"/>
    <x v="8"/>
    <x v="8"/>
    <x v="7"/>
    <s v="Approved"/>
    <s v="Deposit"/>
    <x v="8"/>
    <d v="2025-02-24T00:00:00"/>
    <x v="8"/>
    <x v="2"/>
  </r>
  <r>
    <x v="9"/>
    <x v="9"/>
    <x v="2"/>
    <x v="0"/>
    <s v="Female"/>
    <n v="24"/>
    <s v="Home"/>
    <x v="9"/>
    <x v="9"/>
    <x v="9"/>
    <x v="9"/>
    <x v="8"/>
    <s v="Rejected"/>
    <s v="Transfer"/>
    <x v="9"/>
    <d v="2025-08-13T00:00:00"/>
    <x v="9"/>
    <x v="4"/>
  </r>
  <r>
    <x v="10"/>
    <x v="10"/>
    <x v="0"/>
    <x v="1"/>
    <s v="Male"/>
    <n v="59"/>
    <s v="Personal"/>
    <x v="10"/>
    <x v="10"/>
    <x v="10"/>
    <x v="10"/>
    <x v="9"/>
    <s v="Approved"/>
    <s v="Withdrawal"/>
    <x v="10"/>
    <d v="2025-02-23T00:00:00"/>
    <x v="10"/>
    <x v="3"/>
  </r>
  <r>
    <x v="11"/>
    <x v="11"/>
    <x v="3"/>
    <x v="1"/>
    <s v="Male"/>
    <n v="29"/>
    <s v="Home"/>
    <x v="11"/>
    <x v="11"/>
    <x v="11"/>
    <x v="10"/>
    <x v="10"/>
    <s v="Rejected"/>
    <s v="Deposit"/>
    <x v="11"/>
    <d v="2025-01-14T00:00:00"/>
    <x v="11"/>
    <x v="3"/>
  </r>
  <r>
    <x v="12"/>
    <x v="12"/>
    <x v="3"/>
    <x v="1"/>
    <s v="Male"/>
    <n v="27"/>
    <s v="Home"/>
    <x v="12"/>
    <x v="12"/>
    <x v="12"/>
    <x v="11"/>
    <x v="11"/>
    <s v="Pending"/>
    <s v="Withdrawal"/>
    <x v="12"/>
    <d v="2025-03-18T00:00:00"/>
    <x v="12"/>
    <x v="1"/>
  </r>
  <r>
    <x v="13"/>
    <x v="13"/>
    <x v="2"/>
    <x v="1"/>
    <s v="Male"/>
    <n v="50"/>
    <s v="Home"/>
    <x v="13"/>
    <x v="13"/>
    <x v="13"/>
    <x v="12"/>
    <x v="12"/>
    <s v="Rejected"/>
    <s v="Transfer"/>
    <x v="13"/>
    <d v="2025-10-05T00:00:00"/>
    <x v="13"/>
    <x v="3"/>
  </r>
  <r>
    <x v="14"/>
    <x v="14"/>
    <x v="4"/>
    <x v="1"/>
    <s v="Female"/>
    <n v="25"/>
    <s v="Home"/>
    <x v="14"/>
    <x v="14"/>
    <x v="14"/>
    <x v="13"/>
    <x v="13"/>
    <s v="Pending"/>
    <s v="Transfer"/>
    <x v="14"/>
    <d v="2025-05-21T00:00:00"/>
    <x v="14"/>
    <x v="0"/>
  </r>
  <r>
    <x v="15"/>
    <x v="15"/>
    <x v="1"/>
    <x v="1"/>
    <s v="Male"/>
    <n v="36"/>
    <s v="Car"/>
    <x v="15"/>
    <x v="15"/>
    <x v="15"/>
    <x v="14"/>
    <x v="14"/>
    <s v="Approved"/>
    <s v="Withdrawal"/>
    <x v="15"/>
    <d v="2025-11-15T00:00:00"/>
    <x v="15"/>
    <x v="4"/>
  </r>
  <r>
    <x v="16"/>
    <x v="16"/>
    <x v="4"/>
    <x v="0"/>
    <s v="Female"/>
    <n v="37"/>
    <s v="Car"/>
    <x v="16"/>
    <x v="16"/>
    <x v="16"/>
    <x v="15"/>
    <x v="15"/>
    <s v="Pending"/>
    <s v="Withdrawal"/>
    <x v="16"/>
    <d v="2025-09-26T00:00:00"/>
    <x v="16"/>
    <x v="3"/>
  </r>
  <r>
    <x v="17"/>
    <x v="17"/>
    <x v="2"/>
    <x v="1"/>
    <s v="Female"/>
    <n v="58"/>
    <s v="Education"/>
    <x v="17"/>
    <x v="17"/>
    <x v="17"/>
    <x v="3"/>
    <x v="16"/>
    <s v="Rejected"/>
    <s v="Deposit"/>
    <x v="17"/>
    <d v="2025-04-19T00:00:00"/>
    <x v="17"/>
    <x v="3"/>
  </r>
  <r>
    <x v="18"/>
    <x v="18"/>
    <x v="4"/>
    <x v="1"/>
    <s v="Female"/>
    <n v="39"/>
    <s v="Home"/>
    <x v="18"/>
    <x v="18"/>
    <x v="18"/>
    <x v="16"/>
    <x v="17"/>
    <s v="Rejected"/>
    <s v="Withdrawal"/>
    <x v="18"/>
    <d v="2025-02-06T00:00:00"/>
    <x v="18"/>
    <x v="2"/>
  </r>
  <r>
    <x v="19"/>
    <x v="19"/>
    <x v="0"/>
    <x v="1"/>
    <s v="Male"/>
    <n v="51"/>
    <s v="Car"/>
    <x v="19"/>
    <x v="19"/>
    <x v="19"/>
    <x v="17"/>
    <x v="18"/>
    <s v="Pending"/>
    <s v="Deposit"/>
    <x v="19"/>
    <d v="2025-11-24T00:00:00"/>
    <x v="19"/>
    <x v="2"/>
  </r>
  <r>
    <x v="20"/>
    <x v="20"/>
    <x v="0"/>
    <x v="0"/>
    <s v="Male"/>
    <n v="43"/>
    <s v="Car"/>
    <x v="20"/>
    <x v="20"/>
    <x v="20"/>
    <x v="18"/>
    <x v="19"/>
    <s v="Rejected"/>
    <s v="Transfer"/>
    <x v="20"/>
    <d v="2025-03-26T00:00:00"/>
    <x v="20"/>
    <x v="3"/>
  </r>
  <r>
    <x v="21"/>
    <x v="21"/>
    <x v="1"/>
    <x v="0"/>
    <s v="Female"/>
    <n v="44"/>
    <s v="Car"/>
    <x v="21"/>
    <x v="21"/>
    <x v="21"/>
    <x v="19"/>
    <x v="20"/>
    <s v="Rejected"/>
    <s v="Withdrawal"/>
    <x v="21"/>
    <d v="2025-04-29T00:00:00"/>
    <x v="21"/>
    <x v="0"/>
  </r>
  <r>
    <x v="22"/>
    <x v="15"/>
    <x v="0"/>
    <x v="0"/>
    <s v="Female"/>
    <n v="49"/>
    <s v="Education"/>
    <x v="22"/>
    <x v="22"/>
    <x v="22"/>
    <x v="20"/>
    <x v="21"/>
    <s v="Pending"/>
    <s v="Withdrawal"/>
    <x v="22"/>
    <d v="2025-09-29T00:00:00"/>
    <x v="22"/>
    <x v="3"/>
  </r>
  <r>
    <x v="23"/>
    <x v="22"/>
    <x v="3"/>
    <x v="1"/>
    <s v="Male"/>
    <n v="35"/>
    <s v="Personal"/>
    <x v="23"/>
    <x v="23"/>
    <x v="23"/>
    <x v="21"/>
    <x v="22"/>
    <s v="Pending"/>
    <s v="Transfer"/>
    <x v="23"/>
    <d v="2025-10-12T00:00:00"/>
    <x v="23"/>
    <x v="0"/>
  </r>
  <r>
    <x v="24"/>
    <x v="23"/>
    <x v="4"/>
    <x v="0"/>
    <s v="Female"/>
    <n v="45"/>
    <s v="Car"/>
    <x v="24"/>
    <x v="24"/>
    <x v="24"/>
    <x v="22"/>
    <x v="23"/>
    <s v="Rejected"/>
    <s v="Withdrawal"/>
    <x v="24"/>
    <d v="2025-02-22T00:00:00"/>
    <x v="24"/>
    <x v="0"/>
  </r>
  <r>
    <x v="25"/>
    <x v="24"/>
    <x v="3"/>
    <x v="0"/>
    <s v="Female"/>
    <n v="48"/>
    <s v="Car"/>
    <x v="25"/>
    <x v="25"/>
    <x v="25"/>
    <x v="23"/>
    <x v="24"/>
    <s v="Approved"/>
    <s v="Withdrawal"/>
    <x v="25"/>
    <d v="2025-06-01T00:00:00"/>
    <x v="25"/>
    <x v="0"/>
  </r>
  <r>
    <x v="26"/>
    <x v="7"/>
    <x v="4"/>
    <x v="0"/>
    <s v="Female"/>
    <n v="43"/>
    <s v="Car"/>
    <x v="26"/>
    <x v="26"/>
    <x v="26"/>
    <x v="24"/>
    <x v="25"/>
    <s v="Pending"/>
    <s v="Deposit"/>
    <x v="26"/>
    <d v="2025-10-18T00:00:00"/>
    <x v="26"/>
    <x v="2"/>
  </r>
  <r>
    <x v="27"/>
    <x v="25"/>
    <x v="0"/>
    <x v="1"/>
    <s v="Male"/>
    <n v="58"/>
    <s v="Education"/>
    <x v="27"/>
    <x v="27"/>
    <x v="27"/>
    <x v="25"/>
    <x v="26"/>
    <s v="Rejected"/>
    <s v="Transfer"/>
    <x v="27"/>
    <d v="2025-08-20T00:00:00"/>
    <x v="27"/>
    <x v="4"/>
  </r>
  <r>
    <x v="28"/>
    <x v="26"/>
    <x v="1"/>
    <x v="1"/>
    <s v="Male"/>
    <n v="45"/>
    <s v="Personal"/>
    <x v="28"/>
    <x v="28"/>
    <x v="28"/>
    <x v="26"/>
    <x v="27"/>
    <s v="Approved"/>
    <s v="Transfer"/>
    <x v="28"/>
    <d v="2025-05-28T00:00:00"/>
    <x v="28"/>
    <x v="1"/>
  </r>
  <r>
    <x v="29"/>
    <x v="27"/>
    <x v="1"/>
    <x v="0"/>
    <s v="Female"/>
    <n v="40"/>
    <s v="Personal"/>
    <x v="29"/>
    <x v="29"/>
    <x v="29"/>
    <x v="5"/>
    <x v="28"/>
    <s v="Approved"/>
    <s v="Withdrawal"/>
    <x v="29"/>
    <d v="2025-06-20T00:00:00"/>
    <x v="29"/>
    <x v="3"/>
  </r>
  <r>
    <x v="30"/>
    <x v="28"/>
    <x v="4"/>
    <x v="1"/>
    <s v="Female"/>
    <n v="22"/>
    <s v="Education"/>
    <x v="13"/>
    <x v="30"/>
    <x v="30"/>
    <x v="27"/>
    <x v="29"/>
    <s v="Pending"/>
    <s v="Deposit"/>
    <x v="30"/>
    <d v="2025-05-18T00:00:00"/>
    <x v="30"/>
    <x v="1"/>
  </r>
  <r>
    <x v="31"/>
    <x v="29"/>
    <x v="0"/>
    <x v="0"/>
    <s v="Female"/>
    <n v="44"/>
    <s v="Home"/>
    <x v="30"/>
    <x v="31"/>
    <x v="31"/>
    <x v="28"/>
    <x v="30"/>
    <s v="Approved"/>
    <s v="Withdrawal"/>
    <x v="31"/>
    <d v="2025-07-08T00:00:00"/>
    <x v="28"/>
    <x v="0"/>
  </r>
  <r>
    <x v="32"/>
    <x v="30"/>
    <x v="1"/>
    <x v="0"/>
    <s v="Female"/>
    <n v="60"/>
    <s v="Personal"/>
    <x v="31"/>
    <x v="32"/>
    <x v="32"/>
    <x v="29"/>
    <x v="31"/>
    <s v="Pending"/>
    <s v="Deposit"/>
    <x v="32"/>
    <d v="2025-04-14T00:00:00"/>
    <x v="31"/>
    <x v="4"/>
  </r>
  <r>
    <x v="33"/>
    <x v="31"/>
    <x v="2"/>
    <x v="1"/>
    <s v="Male"/>
    <n v="36"/>
    <s v="Car"/>
    <x v="32"/>
    <x v="21"/>
    <x v="33"/>
    <x v="30"/>
    <x v="32"/>
    <s v="Pending"/>
    <s v="Withdrawal"/>
    <x v="33"/>
    <d v="2025-03-19T00:00:00"/>
    <x v="32"/>
    <x v="0"/>
  </r>
  <r>
    <x v="34"/>
    <x v="32"/>
    <x v="1"/>
    <x v="0"/>
    <s v="Female"/>
    <n v="24"/>
    <s v="Education"/>
    <x v="33"/>
    <x v="33"/>
    <x v="34"/>
    <x v="31"/>
    <x v="33"/>
    <s v="Pending"/>
    <s v="Deposit"/>
    <x v="34"/>
    <d v="2025-12-23T00:00:00"/>
    <x v="33"/>
    <x v="1"/>
  </r>
  <r>
    <x v="35"/>
    <x v="33"/>
    <x v="1"/>
    <x v="0"/>
    <s v="Female"/>
    <n v="53"/>
    <s v="Home"/>
    <x v="34"/>
    <x v="34"/>
    <x v="35"/>
    <x v="32"/>
    <x v="34"/>
    <s v="Pending"/>
    <s v="Transfer"/>
    <x v="23"/>
    <d v="2025-04-11T00:00:00"/>
    <x v="34"/>
    <x v="3"/>
  </r>
  <r>
    <x v="36"/>
    <x v="25"/>
    <x v="2"/>
    <x v="0"/>
    <s v="Male"/>
    <n v="30"/>
    <s v="Education"/>
    <x v="35"/>
    <x v="2"/>
    <x v="36"/>
    <x v="19"/>
    <x v="35"/>
    <s v="Pending"/>
    <s v="Deposit"/>
    <x v="35"/>
    <d v="2025-08-08T00:00:00"/>
    <x v="35"/>
    <x v="1"/>
  </r>
  <r>
    <x v="37"/>
    <x v="34"/>
    <x v="3"/>
    <x v="0"/>
    <s v="Female"/>
    <n v="52"/>
    <s v="Education"/>
    <x v="36"/>
    <x v="35"/>
    <x v="37"/>
    <x v="1"/>
    <x v="36"/>
    <s v="Approved"/>
    <s v="Withdrawal"/>
    <x v="36"/>
    <d v="2025-03-22T00:00:00"/>
    <x v="36"/>
    <x v="4"/>
  </r>
  <r>
    <x v="38"/>
    <x v="35"/>
    <x v="2"/>
    <x v="1"/>
    <s v="Male"/>
    <n v="31"/>
    <s v="Home"/>
    <x v="37"/>
    <x v="36"/>
    <x v="38"/>
    <x v="33"/>
    <x v="37"/>
    <s v="Approved"/>
    <s v="Deposit"/>
    <x v="37"/>
    <d v="2025-11-18T00:00:00"/>
    <x v="37"/>
    <x v="2"/>
  </r>
  <r>
    <x v="39"/>
    <x v="25"/>
    <x v="2"/>
    <x v="1"/>
    <s v="Male"/>
    <n v="25"/>
    <s v="Home"/>
    <x v="38"/>
    <x v="37"/>
    <x v="39"/>
    <x v="8"/>
    <x v="38"/>
    <s v="Pending"/>
    <s v="Deposit"/>
    <x v="38"/>
    <d v="2025-12-14T00:00:00"/>
    <x v="38"/>
    <x v="3"/>
  </r>
  <r>
    <x v="40"/>
    <x v="36"/>
    <x v="0"/>
    <x v="1"/>
    <s v="Male"/>
    <n v="30"/>
    <s v="Car"/>
    <x v="39"/>
    <x v="38"/>
    <x v="40"/>
    <x v="34"/>
    <x v="39"/>
    <s v="Rejected"/>
    <s v="Withdrawal"/>
    <x v="39"/>
    <d v="2025-03-06T00:00:00"/>
    <x v="39"/>
    <x v="4"/>
  </r>
  <r>
    <x v="41"/>
    <x v="37"/>
    <x v="3"/>
    <x v="1"/>
    <s v="Male"/>
    <n v="36"/>
    <s v="Home"/>
    <x v="40"/>
    <x v="39"/>
    <x v="41"/>
    <x v="0"/>
    <x v="40"/>
    <s v="Pending"/>
    <s v="Transfer"/>
    <x v="40"/>
    <d v="2025-09-07T00:00:00"/>
    <x v="40"/>
    <x v="1"/>
  </r>
  <r>
    <x v="42"/>
    <x v="38"/>
    <x v="3"/>
    <x v="0"/>
    <s v="Female"/>
    <n v="53"/>
    <s v="Personal"/>
    <x v="41"/>
    <x v="40"/>
    <x v="42"/>
    <x v="35"/>
    <x v="41"/>
    <s v="Rejected"/>
    <s v="Transfer"/>
    <x v="41"/>
    <d v="2025-09-14T00:00:00"/>
    <x v="41"/>
    <x v="2"/>
  </r>
  <r>
    <x v="43"/>
    <x v="39"/>
    <x v="1"/>
    <x v="0"/>
    <s v="Male"/>
    <n v="46"/>
    <s v="Education"/>
    <x v="13"/>
    <x v="41"/>
    <x v="43"/>
    <x v="36"/>
    <x v="42"/>
    <s v="Rejected"/>
    <s v="Transfer"/>
    <x v="42"/>
    <d v="2025-11-13T00:00:00"/>
    <x v="42"/>
    <x v="4"/>
  </r>
  <r>
    <x v="44"/>
    <x v="40"/>
    <x v="0"/>
    <x v="0"/>
    <s v="Female"/>
    <n v="54"/>
    <s v="Personal"/>
    <x v="42"/>
    <x v="42"/>
    <x v="44"/>
    <x v="37"/>
    <x v="43"/>
    <s v="Approved"/>
    <s v="Deposit"/>
    <x v="43"/>
    <d v="2025-06-11T00:00:00"/>
    <x v="43"/>
    <x v="1"/>
  </r>
  <r>
    <x v="45"/>
    <x v="41"/>
    <x v="1"/>
    <x v="1"/>
    <s v="Female"/>
    <n v="22"/>
    <s v="Education"/>
    <x v="43"/>
    <x v="43"/>
    <x v="45"/>
    <x v="38"/>
    <x v="24"/>
    <s v="Approved"/>
    <s v="Deposit"/>
    <x v="44"/>
    <d v="2025-01-30T00:00:00"/>
    <x v="44"/>
    <x v="4"/>
  </r>
  <r>
    <x v="46"/>
    <x v="21"/>
    <x v="3"/>
    <x v="1"/>
    <s v="Female"/>
    <n v="40"/>
    <s v="Personal"/>
    <x v="44"/>
    <x v="44"/>
    <x v="46"/>
    <x v="39"/>
    <x v="44"/>
    <s v="Approved"/>
    <s v="Transfer"/>
    <x v="45"/>
    <d v="2025-01-04T00:00:00"/>
    <x v="45"/>
    <x v="4"/>
  </r>
  <r>
    <x v="47"/>
    <x v="42"/>
    <x v="0"/>
    <x v="0"/>
    <s v="Female"/>
    <n v="40"/>
    <s v="Personal"/>
    <x v="45"/>
    <x v="45"/>
    <x v="47"/>
    <x v="40"/>
    <x v="45"/>
    <s v="Rejected"/>
    <s v="Deposit"/>
    <x v="46"/>
    <d v="2025-12-06T00:00:00"/>
    <x v="46"/>
    <x v="0"/>
  </r>
  <r>
    <x v="48"/>
    <x v="43"/>
    <x v="3"/>
    <x v="0"/>
    <s v="Female"/>
    <n v="25"/>
    <s v="Personal"/>
    <x v="0"/>
    <x v="46"/>
    <x v="48"/>
    <x v="41"/>
    <x v="46"/>
    <s v="Approved"/>
    <s v="Transfer"/>
    <x v="47"/>
    <d v="2025-11-14T00:00:00"/>
    <x v="47"/>
    <x v="3"/>
  </r>
  <r>
    <x v="49"/>
    <x v="44"/>
    <x v="2"/>
    <x v="1"/>
    <s v="Female"/>
    <n v="39"/>
    <s v="Home"/>
    <x v="46"/>
    <x v="47"/>
    <x v="49"/>
    <x v="42"/>
    <x v="47"/>
    <s v="Rejected"/>
    <s v="Deposit"/>
    <x v="48"/>
    <d v="2025-12-25T00:00:00"/>
    <x v="48"/>
    <x v="4"/>
  </r>
  <r>
    <x v="50"/>
    <x v="45"/>
    <x v="2"/>
    <x v="0"/>
    <s v="Female"/>
    <n v="25"/>
    <s v="Car"/>
    <x v="47"/>
    <x v="48"/>
    <x v="50"/>
    <x v="43"/>
    <x v="48"/>
    <s v="Rejected"/>
    <s v="Withdrawal"/>
    <x v="49"/>
    <d v="2025-01-15T00:00:00"/>
    <x v="19"/>
    <x v="4"/>
  </r>
  <r>
    <x v="51"/>
    <x v="46"/>
    <x v="1"/>
    <x v="0"/>
    <s v="Male"/>
    <n v="52"/>
    <s v="Personal"/>
    <x v="48"/>
    <x v="49"/>
    <x v="51"/>
    <x v="44"/>
    <x v="49"/>
    <s v="Rejected"/>
    <s v="Transfer"/>
    <x v="50"/>
    <d v="2025-08-28T00:00:00"/>
    <x v="49"/>
    <x v="2"/>
  </r>
  <r>
    <x v="52"/>
    <x v="47"/>
    <x v="0"/>
    <x v="0"/>
    <s v="Female"/>
    <n v="49"/>
    <s v="Education"/>
    <x v="13"/>
    <x v="6"/>
    <x v="52"/>
    <x v="32"/>
    <x v="50"/>
    <s v="Approved"/>
    <s v="Transfer"/>
    <x v="51"/>
    <d v="2025-03-31T00:00:00"/>
    <x v="50"/>
    <x v="3"/>
  </r>
  <r>
    <x v="53"/>
    <x v="12"/>
    <x v="4"/>
    <x v="0"/>
    <s v="Female"/>
    <n v="38"/>
    <s v="Education"/>
    <x v="49"/>
    <x v="50"/>
    <x v="53"/>
    <x v="45"/>
    <x v="51"/>
    <s v="Approved"/>
    <s v="Transfer"/>
    <x v="33"/>
    <d v="2025-01-25T00:00:00"/>
    <x v="51"/>
    <x v="0"/>
  </r>
  <r>
    <x v="54"/>
    <x v="48"/>
    <x v="3"/>
    <x v="1"/>
    <s v="Female"/>
    <n v="36"/>
    <s v="Home"/>
    <x v="50"/>
    <x v="51"/>
    <x v="54"/>
    <x v="3"/>
    <x v="52"/>
    <s v="Pending"/>
    <s v="Deposit"/>
    <x v="52"/>
    <d v="2025-10-31T00:00:00"/>
    <x v="52"/>
    <x v="0"/>
  </r>
  <r>
    <x v="55"/>
    <x v="49"/>
    <x v="1"/>
    <x v="1"/>
    <s v="Male"/>
    <n v="31"/>
    <s v="Car"/>
    <x v="51"/>
    <x v="52"/>
    <x v="55"/>
    <x v="46"/>
    <x v="53"/>
    <s v="Rejected"/>
    <s v="Deposit"/>
    <x v="53"/>
    <d v="2025-02-02T00:00:00"/>
    <x v="53"/>
    <x v="4"/>
  </r>
  <r>
    <x v="56"/>
    <x v="50"/>
    <x v="4"/>
    <x v="1"/>
    <s v="Female"/>
    <n v="44"/>
    <s v="Car"/>
    <x v="52"/>
    <x v="53"/>
    <x v="56"/>
    <x v="47"/>
    <x v="54"/>
    <s v="Rejected"/>
    <s v="Transfer"/>
    <x v="54"/>
    <d v="2025-02-19T00:00:00"/>
    <x v="54"/>
    <x v="1"/>
  </r>
  <r>
    <x v="57"/>
    <x v="2"/>
    <x v="3"/>
    <x v="1"/>
    <s v="Male"/>
    <n v="47"/>
    <s v="Home"/>
    <x v="53"/>
    <x v="54"/>
    <x v="57"/>
    <x v="48"/>
    <x v="55"/>
    <s v="Pending"/>
    <s v="Withdrawal"/>
    <x v="55"/>
    <d v="2025-03-08T00:00:00"/>
    <x v="55"/>
    <x v="2"/>
  </r>
  <r>
    <x v="58"/>
    <x v="51"/>
    <x v="4"/>
    <x v="0"/>
    <s v="Male"/>
    <n v="21"/>
    <s v="Car"/>
    <x v="54"/>
    <x v="55"/>
    <x v="58"/>
    <x v="49"/>
    <x v="56"/>
    <s v="Rejected"/>
    <s v="Withdrawal"/>
    <x v="11"/>
    <d v="2025-02-14T00:00:00"/>
    <x v="56"/>
    <x v="4"/>
  </r>
  <r>
    <x v="59"/>
    <x v="52"/>
    <x v="1"/>
    <x v="1"/>
    <s v="Female"/>
    <n v="53"/>
    <s v="Car"/>
    <x v="55"/>
    <x v="56"/>
    <x v="59"/>
    <x v="50"/>
    <x v="57"/>
    <s v="Approved"/>
    <s v="Withdrawal"/>
    <x v="56"/>
    <d v="2025-09-16T00:00:00"/>
    <x v="57"/>
    <x v="4"/>
  </r>
  <r>
    <x v="60"/>
    <x v="53"/>
    <x v="1"/>
    <x v="0"/>
    <s v="Female"/>
    <n v="22"/>
    <s v="Car"/>
    <x v="56"/>
    <x v="57"/>
    <x v="60"/>
    <x v="51"/>
    <x v="58"/>
    <s v="Approved"/>
    <s v="Withdrawal"/>
    <x v="57"/>
    <d v="2025-08-07T00:00:00"/>
    <x v="47"/>
    <x v="2"/>
  </r>
  <r>
    <x v="61"/>
    <x v="54"/>
    <x v="2"/>
    <x v="1"/>
    <s v="Female"/>
    <n v="23"/>
    <s v="Education"/>
    <x v="57"/>
    <x v="58"/>
    <x v="61"/>
    <x v="52"/>
    <x v="59"/>
    <s v="Rejected"/>
    <s v="Withdrawal"/>
    <x v="58"/>
    <d v="2025-04-30T00:00:00"/>
    <x v="58"/>
    <x v="3"/>
  </r>
  <r>
    <x v="62"/>
    <x v="55"/>
    <x v="1"/>
    <x v="0"/>
    <s v="Female"/>
    <n v="48"/>
    <s v="Home"/>
    <x v="58"/>
    <x v="59"/>
    <x v="62"/>
    <x v="15"/>
    <x v="60"/>
    <s v="Approved"/>
    <s v="Deposit"/>
    <x v="54"/>
    <d v="2025-02-14T00:00:00"/>
    <x v="59"/>
    <x v="4"/>
  </r>
  <r>
    <x v="63"/>
    <x v="56"/>
    <x v="2"/>
    <x v="1"/>
    <s v="Female"/>
    <n v="54"/>
    <s v="Personal"/>
    <x v="59"/>
    <x v="60"/>
    <x v="63"/>
    <x v="16"/>
    <x v="61"/>
    <s v="Pending"/>
    <s v="Withdrawal"/>
    <x v="59"/>
    <d v="2025-03-18T00:00:00"/>
    <x v="60"/>
    <x v="1"/>
  </r>
  <r>
    <x v="64"/>
    <x v="57"/>
    <x v="3"/>
    <x v="1"/>
    <s v="Female"/>
    <n v="45"/>
    <s v="Education"/>
    <x v="60"/>
    <x v="61"/>
    <x v="64"/>
    <x v="53"/>
    <x v="62"/>
    <s v="Rejected"/>
    <s v="Withdrawal"/>
    <x v="60"/>
    <d v="2025-09-27T00:00:00"/>
    <x v="61"/>
    <x v="1"/>
  </r>
  <r>
    <x v="65"/>
    <x v="58"/>
    <x v="3"/>
    <x v="0"/>
    <s v="Female"/>
    <n v="25"/>
    <s v="Home"/>
    <x v="61"/>
    <x v="62"/>
    <x v="65"/>
    <x v="30"/>
    <x v="46"/>
    <s v="Approved"/>
    <s v="Deposit"/>
    <x v="61"/>
    <d v="2025-03-05T00:00:00"/>
    <x v="62"/>
    <x v="0"/>
  </r>
  <r>
    <x v="66"/>
    <x v="59"/>
    <x v="2"/>
    <x v="1"/>
    <s v="Male"/>
    <n v="50"/>
    <s v="Education"/>
    <x v="62"/>
    <x v="63"/>
    <x v="66"/>
    <x v="54"/>
    <x v="63"/>
    <s v="Approved"/>
    <s v="Transfer"/>
    <x v="62"/>
    <d v="2025-04-13T00:00:00"/>
    <x v="63"/>
    <x v="2"/>
  </r>
  <r>
    <x v="67"/>
    <x v="60"/>
    <x v="0"/>
    <x v="1"/>
    <s v="Male"/>
    <n v="54"/>
    <s v="Car"/>
    <x v="63"/>
    <x v="64"/>
    <x v="67"/>
    <x v="47"/>
    <x v="64"/>
    <s v="Rejected"/>
    <s v="Withdrawal"/>
    <x v="63"/>
    <d v="2025-03-31T00:00:00"/>
    <x v="64"/>
    <x v="1"/>
  </r>
  <r>
    <x v="68"/>
    <x v="61"/>
    <x v="2"/>
    <x v="1"/>
    <s v="Male"/>
    <n v="53"/>
    <s v="Car"/>
    <x v="64"/>
    <x v="65"/>
    <x v="68"/>
    <x v="55"/>
    <x v="65"/>
    <s v="Pending"/>
    <s v="Transfer"/>
    <x v="64"/>
    <d v="2025-03-30T00:00:00"/>
    <x v="65"/>
    <x v="4"/>
  </r>
  <r>
    <x v="69"/>
    <x v="51"/>
    <x v="2"/>
    <x v="0"/>
    <s v="Male"/>
    <n v="36"/>
    <s v="Car"/>
    <x v="65"/>
    <x v="66"/>
    <x v="69"/>
    <x v="56"/>
    <x v="66"/>
    <s v="Pending"/>
    <s v="Deposit"/>
    <x v="65"/>
    <d v="2025-08-21T00:00:00"/>
    <x v="66"/>
    <x v="1"/>
  </r>
  <r>
    <x v="70"/>
    <x v="23"/>
    <x v="3"/>
    <x v="0"/>
    <s v="Male"/>
    <n v="30"/>
    <s v="Home"/>
    <x v="66"/>
    <x v="67"/>
    <x v="70"/>
    <x v="57"/>
    <x v="28"/>
    <s v="Approved"/>
    <s v="Withdrawal"/>
    <x v="66"/>
    <d v="2025-12-08T00:00:00"/>
    <x v="67"/>
    <x v="1"/>
  </r>
  <r>
    <x v="71"/>
    <x v="62"/>
    <x v="1"/>
    <x v="1"/>
    <s v="Female"/>
    <n v="53"/>
    <s v="Personal"/>
    <x v="67"/>
    <x v="68"/>
    <x v="71"/>
    <x v="58"/>
    <x v="67"/>
    <s v="Pending"/>
    <s v="Deposit"/>
    <x v="67"/>
    <d v="2025-05-30T00:00:00"/>
    <x v="68"/>
    <x v="2"/>
  </r>
  <r>
    <x v="72"/>
    <x v="63"/>
    <x v="1"/>
    <x v="1"/>
    <s v="Female"/>
    <n v="42"/>
    <s v="Education"/>
    <x v="68"/>
    <x v="69"/>
    <x v="72"/>
    <x v="59"/>
    <x v="68"/>
    <s v="Pending"/>
    <s v="Transfer"/>
    <x v="68"/>
    <d v="2025-09-30T00:00:00"/>
    <x v="69"/>
    <x v="3"/>
  </r>
  <r>
    <x v="73"/>
    <x v="64"/>
    <x v="3"/>
    <x v="0"/>
    <s v="Male"/>
    <n v="22"/>
    <s v="Personal"/>
    <x v="69"/>
    <x v="70"/>
    <x v="73"/>
    <x v="60"/>
    <x v="69"/>
    <s v="Approved"/>
    <s v="Transfer"/>
    <x v="69"/>
    <d v="2025-02-07T00:00:00"/>
    <x v="70"/>
    <x v="3"/>
  </r>
  <r>
    <x v="74"/>
    <x v="53"/>
    <x v="2"/>
    <x v="0"/>
    <s v="Male"/>
    <n v="56"/>
    <s v="Education"/>
    <x v="70"/>
    <x v="71"/>
    <x v="74"/>
    <x v="58"/>
    <x v="70"/>
    <s v="Approved"/>
    <s v="Withdrawal"/>
    <x v="70"/>
    <d v="2025-11-22T00:00:00"/>
    <x v="71"/>
    <x v="0"/>
  </r>
  <r>
    <x v="75"/>
    <x v="65"/>
    <x v="0"/>
    <x v="1"/>
    <s v="Female"/>
    <n v="21"/>
    <s v="Education"/>
    <x v="71"/>
    <x v="18"/>
    <x v="75"/>
    <x v="14"/>
    <x v="71"/>
    <s v="Approved"/>
    <s v="Deposit"/>
    <x v="22"/>
    <d v="2025-09-08T00:00:00"/>
    <x v="72"/>
    <x v="3"/>
  </r>
  <r>
    <x v="76"/>
    <x v="43"/>
    <x v="3"/>
    <x v="0"/>
    <s v="Female"/>
    <n v="57"/>
    <s v="Education"/>
    <x v="72"/>
    <x v="72"/>
    <x v="76"/>
    <x v="34"/>
    <x v="72"/>
    <s v="Rejected"/>
    <s v="Deposit"/>
    <x v="58"/>
    <d v="2025-05-17T00:00:00"/>
    <x v="73"/>
    <x v="4"/>
  </r>
  <r>
    <x v="77"/>
    <x v="66"/>
    <x v="4"/>
    <x v="0"/>
    <s v="Female"/>
    <n v="27"/>
    <s v="Car"/>
    <x v="73"/>
    <x v="73"/>
    <x v="77"/>
    <x v="61"/>
    <x v="73"/>
    <s v="Pending"/>
    <s v="Withdrawal"/>
    <x v="71"/>
    <d v="2025-01-30T00:00:00"/>
    <x v="74"/>
    <x v="1"/>
  </r>
  <r>
    <x v="78"/>
    <x v="67"/>
    <x v="4"/>
    <x v="0"/>
    <s v="Male"/>
    <n v="22"/>
    <s v="Car"/>
    <x v="74"/>
    <x v="74"/>
    <x v="78"/>
    <x v="20"/>
    <x v="74"/>
    <s v="Approved"/>
    <s v="Deposit"/>
    <x v="72"/>
    <d v="2025-12-14T00:00:00"/>
    <x v="75"/>
    <x v="2"/>
  </r>
  <r>
    <x v="79"/>
    <x v="27"/>
    <x v="1"/>
    <x v="1"/>
    <s v="Male"/>
    <n v="50"/>
    <s v="Personal"/>
    <x v="75"/>
    <x v="75"/>
    <x v="79"/>
    <x v="62"/>
    <x v="45"/>
    <s v="Pending"/>
    <s v="Deposit"/>
    <x v="73"/>
    <d v="2025-06-04T00:00:00"/>
    <x v="76"/>
    <x v="4"/>
  </r>
  <r>
    <x v="80"/>
    <x v="68"/>
    <x v="1"/>
    <x v="0"/>
    <s v="Male"/>
    <n v="50"/>
    <s v="Personal"/>
    <x v="76"/>
    <x v="76"/>
    <x v="80"/>
    <x v="15"/>
    <x v="47"/>
    <s v="Rejected"/>
    <s v="Transfer"/>
    <x v="74"/>
    <d v="2025-12-09T00:00:00"/>
    <x v="77"/>
    <x v="0"/>
  </r>
  <r>
    <x v="81"/>
    <x v="69"/>
    <x v="2"/>
    <x v="0"/>
    <s v="Female"/>
    <n v="29"/>
    <s v="Personal"/>
    <x v="77"/>
    <x v="52"/>
    <x v="81"/>
    <x v="63"/>
    <x v="75"/>
    <s v="Approved"/>
    <s v="Deposit"/>
    <x v="52"/>
    <d v="2025-10-26T00:00:00"/>
    <x v="78"/>
    <x v="3"/>
  </r>
  <r>
    <x v="82"/>
    <x v="70"/>
    <x v="2"/>
    <x v="1"/>
    <s v="Male"/>
    <n v="35"/>
    <s v="Education"/>
    <x v="78"/>
    <x v="77"/>
    <x v="82"/>
    <x v="59"/>
    <x v="76"/>
    <s v="Rejected"/>
    <s v="Transfer"/>
    <x v="53"/>
    <d v="2025-04-12T00:00:00"/>
    <x v="79"/>
    <x v="3"/>
  </r>
  <r>
    <x v="83"/>
    <x v="15"/>
    <x v="3"/>
    <x v="0"/>
    <s v="Female"/>
    <n v="33"/>
    <s v="Car"/>
    <x v="79"/>
    <x v="78"/>
    <x v="83"/>
    <x v="64"/>
    <x v="77"/>
    <s v="Pending"/>
    <s v="Transfer"/>
    <x v="75"/>
    <d v="2025-11-17T00:00:00"/>
    <x v="47"/>
    <x v="3"/>
  </r>
  <r>
    <x v="84"/>
    <x v="1"/>
    <x v="0"/>
    <x v="1"/>
    <s v="Female"/>
    <n v="34"/>
    <s v="Car"/>
    <x v="2"/>
    <x v="79"/>
    <x v="84"/>
    <x v="53"/>
    <x v="78"/>
    <s v="Rejected"/>
    <s v="Deposit"/>
    <x v="56"/>
    <d v="2025-09-02T00:00:00"/>
    <x v="80"/>
    <x v="4"/>
  </r>
  <r>
    <x v="85"/>
    <x v="71"/>
    <x v="3"/>
    <x v="0"/>
    <s v="Male"/>
    <n v="58"/>
    <s v="Personal"/>
    <x v="80"/>
    <x v="80"/>
    <x v="85"/>
    <x v="25"/>
    <x v="18"/>
    <s v="Approved"/>
    <s v="Withdrawal"/>
    <x v="76"/>
    <d v="2025-09-29T00:00:00"/>
    <x v="81"/>
    <x v="3"/>
  </r>
  <r>
    <x v="86"/>
    <x v="72"/>
    <x v="1"/>
    <x v="0"/>
    <s v="Male"/>
    <n v="52"/>
    <s v="Education"/>
    <x v="64"/>
    <x v="54"/>
    <x v="86"/>
    <x v="65"/>
    <x v="79"/>
    <s v="Rejected"/>
    <s v="Transfer"/>
    <x v="77"/>
    <d v="2025-02-18T00:00:00"/>
    <x v="82"/>
    <x v="2"/>
  </r>
  <r>
    <x v="87"/>
    <x v="73"/>
    <x v="3"/>
    <x v="1"/>
    <s v="Male"/>
    <n v="42"/>
    <s v="Car"/>
    <x v="81"/>
    <x v="81"/>
    <x v="87"/>
    <x v="66"/>
    <x v="80"/>
    <s v="Pending"/>
    <s v="Deposit"/>
    <x v="78"/>
    <d v="2025-11-11T00:00:00"/>
    <x v="83"/>
    <x v="0"/>
  </r>
  <r>
    <x v="88"/>
    <x v="54"/>
    <x v="3"/>
    <x v="0"/>
    <s v="Female"/>
    <n v="52"/>
    <s v="Car"/>
    <x v="82"/>
    <x v="82"/>
    <x v="88"/>
    <x v="16"/>
    <x v="81"/>
    <s v="Approved"/>
    <s v="Deposit"/>
    <x v="79"/>
    <d v="2025-02-12T00:00:00"/>
    <x v="84"/>
    <x v="3"/>
  </r>
  <r>
    <x v="89"/>
    <x v="74"/>
    <x v="4"/>
    <x v="0"/>
    <s v="Male"/>
    <n v="57"/>
    <s v="Car"/>
    <x v="83"/>
    <x v="83"/>
    <x v="89"/>
    <x v="67"/>
    <x v="82"/>
    <s v="Pending"/>
    <s v="Deposit"/>
    <x v="80"/>
    <d v="2025-02-12T00:00:00"/>
    <x v="0"/>
    <x v="4"/>
  </r>
  <r>
    <x v="90"/>
    <x v="75"/>
    <x v="0"/>
    <x v="0"/>
    <s v="Female"/>
    <n v="59"/>
    <s v="Home"/>
    <x v="84"/>
    <x v="57"/>
    <x v="90"/>
    <x v="68"/>
    <x v="56"/>
    <s v="Rejected"/>
    <s v="Withdrawal"/>
    <x v="34"/>
    <d v="2025-06-13T00:00:00"/>
    <x v="85"/>
    <x v="0"/>
  </r>
  <r>
    <x v="91"/>
    <x v="67"/>
    <x v="3"/>
    <x v="1"/>
    <s v="Male"/>
    <n v="59"/>
    <s v="Car"/>
    <x v="85"/>
    <x v="84"/>
    <x v="91"/>
    <x v="18"/>
    <x v="83"/>
    <s v="Approved"/>
    <s v="Transfer"/>
    <x v="81"/>
    <d v="2025-08-25T00:00:00"/>
    <x v="86"/>
    <x v="3"/>
  </r>
  <r>
    <x v="92"/>
    <x v="41"/>
    <x v="0"/>
    <x v="1"/>
    <s v="Male"/>
    <n v="21"/>
    <s v="Personal"/>
    <x v="86"/>
    <x v="85"/>
    <x v="92"/>
    <x v="69"/>
    <x v="84"/>
    <s v="Approved"/>
    <s v="Deposit"/>
    <x v="82"/>
    <d v="2025-06-13T00:00:00"/>
    <x v="87"/>
    <x v="3"/>
  </r>
  <r>
    <x v="93"/>
    <x v="76"/>
    <x v="1"/>
    <x v="0"/>
    <s v="Male"/>
    <n v="30"/>
    <s v="Education"/>
    <x v="87"/>
    <x v="86"/>
    <x v="93"/>
    <x v="70"/>
    <x v="85"/>
    <s v="Rejected"/>
    <s v="Transfer"/>
    <x v="47"/>
    <d v="2025-10-05T00:00:00"/>
    <x v="88"/>
    <x v="2"/>
  </r>
  <r>
    <x v="94"/>
    <x v="61"/>
    <x v="0"/>
    <x v="1"/>
    <s v="Male"/>
    <n v="34"/>
    <s v="Home"/>
    <x v="88"/>
    <x v="87"/>
    <x v="94"/>
    <x v="41"/>
    <x v="86"/>
    <s v="Rejected"/>
    <s v="Transfer"/>
    <x v="83"/>
    <d v="2025-03-14T00:00:00"/>
    <x v="89"/>
    <x v="3"/>
  </r>
  <r>
    <x v="95"/>
    <x v="38"/>
    <x v="1"/>
    <x v="1"/>
    <s v="Male"/>
    <n v="60"/>
    <s v="Personal"/>
    <x v="84"/>
    <x v="88"/>
    <x v="95"/>
    <x v="25"/>
    <x v="87"/>
    <s v="Pending"/>
    <s v="Deposit"/>
    <x v="84"/>
    <d v="2025-01-18T00:00:00"/>
    <x v="90"/>
    <x v="3"/>
  </r>
  <r>
    <x v="96"/>
    <x v="73"/>
    <x v="0"/>
    <x v="1"/>
    <s v="Male"/>
    <n v="46"/>
    <s v="Personal"/>
    <x v="89"/>
    <x v="89"/>
    <x v="96"/>
    <x v="71"/>
    <x v="88"/>
    <s v="Approved"/>
    <s v="Transfer"/>
    <x v="48"/>
    <d v="2025-01-18T00:00:00"/>
    <x v="91"/>
    <x v="4"/>
  </r>
  <r>
    <x v="97"/>
    <x v="77"/>
    <x v="3"/>
    <x v="1"/>
    <s v="Female"/>
    <n v="56"/>
    <s v="Car"/>
    <x v="25"/>
    <x v="31"/>
    <x v="97"/>
    <x v="61"/>
    <x v="89"/>
    <s v="Pending"/>
    <s v="Withdrawal"/>
    <x v="85"/>
    <d v="2025-10-01T00:00:00"/>
    <x v="92"/>
    <x v="2"/>
  </r>
  <r>
    <x v="98"/>
    <x v="25"/>
    <x v="1"/>
    <x v="1"/>
    <s v="Male"/>
    <n v="38"/>
    <s v="Education"/>
    <x v="37"/>
    <x v="90"/>
    <x v="98"/>
    <x v="72"/>
    <x v="29"/>
    <s v="Pending"/>
    <s v="Deposit"/>
    <x v="86"/>
    <d v="2025-02-24T00:00:00"/>
    <x v="93"/>
    <x v="4"/>
  </r>
  <r>
    <x v="99"/>
    <x v="78"/>
    <x v="2"/>
    <x v="0"/>
    <s v="Male"/>
    <n v="37"/>
    <s v="Education"/>
    <x v="32"/>
    <x v="91"/>
    <x v="99"/>
    <x v="73"/>
    <x v="90"/>
    <s v="Rejected"/>
    <s v="Deposit"/>
    <x v="87"/>
    <d v="2025-11-21T00:00:00"/>
    <x v="9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70E4F-0CEC-4E2E-8B11-D8F60C1BD8F8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N15" firstHeaderRow="0" firstDataRow="1" firstDataCol="1" rowPageCount="7" colPageCount="1"/>
  <pivotFields count="18">
    <pivotField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Page" dataField="1" showAll="0">
      <items count="91">
        <item x="45"/>
        <item x="17"/>
        <item x="77"/>
        <item x="43"/>
        <item x="49"/>
        <item x="7"/>
        <item x="73"/>
        <item x="47"/>
        <item x="89"/>
        <item x="28"/>
        <item x="83"/>
        <item x="3"/>
        <item x="30"/>
        <item x="53"/>
        <item x="12"/>
        <item x="14"/>
        <item x="75"/>
        <item x="38"/>
        <item x="51"/>
        <item x="55"/>
        <item x="39"/>
        <item x="42"/>
        <item x="71"/>
        <item x="68"/>
        <item x="85"/>
        <item x="40"/>
        <item x="46"/>
        <item x="76"/>
        <item x="9"/>
        <item x="65"/>
        <item x="59"/>
        <item x="82"/>
        <item x="34"/>
        <item x="32"/>
        <item x="26"/>
        <item x="88"/>
        <item x="11"/>
        <item x="27"/>
        <item x="33"/>
        <item x="1"/>
        <item x="2"/>
        <item x="22"/>
        <item x="13"/>
        <item x="20"/>
        <item x="10"/>
        <item x="48"/>
        <item x="61"/>
        <item x="50"/>
        <item x="21"/>
        <item x="19"/>
        <item x="81"/>
        <item x="56"/>
        <item x="36"/>
        <item x="35"/>
        <item x="15"/>
        <item x="80"/>
        <item x="8"/>
        <item x="74"/>
        <item x="57"/>
        <item x="72"/>
        <item x="52"/>
        <item x="87"/>
        <item x="84"/>
        <item x="78"/>
        <item x="0"/>
        <item x="16"/>
        <item x="4"/>
        <item x="25"/>
        <item x="44"/>
        <item x="70"/>
        <item x="62"/>
        <item x="41"/>
        <item x="24"/>
        <item x="69"/>
        <item x="79"/>
        <item x="5"/>
        <item x="58"/>
        <item x="67"/>
        <item x="31"/>
        <item x="6"/>
        <item x="23"/>
        <item x="18"/>
        <item x="54"/>
        <item x="29"/>
        <item x="37"/>
        <item x="60"/>
        <item x="66"/>
        <item x="64"/>
        <item x="63"/>
        <item x="86"/>
        <item t="default"/>
      </items>
    </pivotField>
    <pivotField axis="axisPage" dataField="1" showAll="0">
      <items count="93">
        <item x="82"/>
        <item x="51"/>
        <item x="21"/>
        <item x="80"/>
        <item x="68"/>
        <item x="37"/>
        <item x="72"/>
        <item x="26"/>
        <item x="67"/>
        <item x="53"/>
        <item x="78"/>
        <item x="20"/>
        <item x="18"/>
        <item x="31"/>
        <item x="7"/>
        <item x="22"/>
        <item x="62"/>
        <item x="11"/>
        <item x="55"/>
        <item x="17"/>
        <item x="30"/>
        <item x="50"/>
        <item x="45"/>
        <item x="77"/>
        <item x="73"/>
        <item x="43"/>
        <item x="15"/>
        <item x="25"/>
        <item x="13"/>
        <item x="52"/>
        <item x="39"/>
        <item x="47"/>
        <item x="19"/>
        <item x="86"/>
        <item x="46"/>
        <item x="87"/>
        <item x="49"/>
        <item x="1"/>
        <item x="71"/>
        <item x="5"/>
        <item x="4"/>
        <item x="8"/>
        <item x="14"/>
        <item x="32"/>
        <item x="66"/>
        <item x="84"/>
        <item x="64"/>
        <item x="56"/>
        <item x="0"/>
        <item x="88"/>
        <item x="63"/>
        <item x="76"/>
        <item x="54"/>
        <item x="6"/>
        <item x="57"/>
        <item x="9"/>
        <item x="61"/>
        <item x="33"/>
        <item x="48"/>
        <item x="83"/>
        <item x="44"/>
        <item x="42"/>
        <item x="75"/>
        <item x="29"/>
        <item x="89"/>
        <item x="41"/>
        <item x="91"/>
        <item x="59"/>
        <item x="90"/>
        <item x="27"/>
        <item x="12"/>
        <item x="40"/>
        <item x="85"/>
        <item x="38"/>
        <item x="34"/>
        <item x="3"/>
        <item x="23"/>
        <item x="36"/>
        <item x="58"/>
        <item x="35"/>
        <item x="70"/>
        <item x="65"/>
        <item x="81"/>
        <item x="2"/>
        <item x="28"/>
        <item x="74"/>
        <item x="60"/>
        <item x="69"/>
        <item x="24"/>
        <item x="10"/>
        <item x="16"/>
        <item x="79"/>
        <item t="default"/>
      </items>
    </pivotField>
    <pivotField axis="axisPage" dataField="1" showAll="0">
      <items count="101">
        <item x="47"/>
        <item x="17"/>
        <item x="81"/>
        <item x="45"/>
        <item x="53"/>
        <item x="7"/>
        <item x="77"/>
        <item x="50"/>
        <item x="96"/>
        <item x="89"/>
        <item x="31"/>
        <item x="28"/>
        <item x="3"/>
        <item x="57"/>
        <item x="12"/>
        <item x="14"/>
        <item x="39"/>
        <item x="79"/>
        <item x="55"/>
        <item x="59"/>
        <item x="75"/>
        <item x="44"/>
        <item x="40"/>
        <item x="88"/>
        <item x="41"/>
        <item x="91"/>
        <item x="49"/>
        <item x="33"/>
        <item x="80"/>
        <item x="72"/>
        <item x="9"/>
        <item x="69"/>
        <item x="26"/>
        <item x="11"/>
        <item x="94"/>
        <item x="35"/>
        <item x="63"/>
        <item x="99"/>
        <item x="22"/>
        <item x="1"/>
        <item x="34"/>
        <item x="30"/>
        <item x="20"/>
        <item x="27"/>
        <item x="13"/>
        <item x="65"/>
        <item x="54"/>
        <item x="21"/>
        <item x="52"/>
        <item x="51"/>
        <item x="2"/>
        <item x="43"/>
        <item x="84"/>
        <item x="85"/>
        <item x="19"/>
        <item x="10"/>
        <item x="15"/>
        <item x="76"/>
        <item x="60"/>
        <item x="56"/>
        <item x="8"/>
        <item x="87"/>
        <item x="37"/>
        <item x="93"/>
        <item x="82"/>
        <item x="36"/>
        <item x="48"/>
        <item x="97"/>
        <item x="95"/>
        <item x="90"/>
        <item x="61"/>
        <item x="25"/>
        <item x="0"/>
        <item x="83"/>
        <item x="78"/>
        <item x="74"/>
        <item x="4"/>
        <item x="66"/>
        <item x="46"/>
        <item x="5"/>
        <item x="42"/>
        <item x="16"/>
        <item x="71"/>
        <item x="73"/>
        <item x="24"/>
        <item x="18"/>
        <item x="62"/>
        <item x="58"/>
        <item x="32"/>
        <item x="70"/>
        <item x="6"/>
        <item x="23"/>
        <item x="64"/>
        <item x="67"/>
        <item x="29"/>
        <item x="86"/>
        <item x="98"/>
        <item x="38"/>
        <item x="92"/>
        <item x="68"/>
        <item t="default"/>
      </items>
    </pivotField>
    <pivotField axis="axisPage" dataField="1" showAll="0">
      <items count="75">
        <item x="42"/>
        <item x="44"/>
        <item x="0"/>
        <item x="22"/>
        <item x="15"/>
        <item x="13"/>
        <item x="45"/>
        <item x="60"/>
        <item x="70"/>
        <item x="33"/>
        <item x="68"/>
        <item x="19"/>
        <item x="1"/>
        <item x="58"/>
        <item x="67"/>
        <item x="41"/>
        <item x="28"/>
        <item x="55"/>
        <item x="16"/>
        <item x="23"/>
        <item x="39"/>
        <item x="62"/>
        <item x="66"/>
        <item x="47"/>
        <item x="46"/>
        <item x="51"/>
        <item x="34"/>
        <item x="25"/>
        <item x="18"/>
        <item x="11"/>
        <item x="36"/>
        <item x="31"/>
        <item x="52"/>
        <item x="2"/>
        <item x="29"/>
        <item x="14"/>
        <item x="38"/>
        <item x="59"/>
        <item x="27"/>
        <item x="37"/>
        <item x="6"/>
        <item x="72"/>
        <item x="50"/>
        <item x="30"/>
        <item x="5"/>
        <item x="8"/>
        <item x="4"/>
        <item x="17"/>
        <item x="24"/>
        <item x="69"/>
        <item x="20"/>
        <item x="43"/>
        <item x="64"/>
        <item x="65"/>
        <item x="73"/>
        <item x="12"/>
        <item x="53"/>
        <item x="9"/>
        <item x="7"/>
        <item x="10"/>
        <item x="54"/>
        <item x="61"/>
        <item x="48"/>
        <item x="32"/>
        <item x="57"/>
        <item x="71"/>
        <item x="63"/>
        <item x="26"/>
        <item x="40"/>
        <item x="3"/>
        <item x="49"/>
        <item x="56"/>
        <item x="21"/>
        <item x="35"/>
        <item t="default"/>
      </items>
    </pivotField>
    <pivotField axis="axisPage" dataField="1" showAll="0">
      <items count="92">
        <item x="15"/>
        <item x="39"/>
        <item x="59"/>
        <item x="48"/>
        <item x="64"/>
        <item x="10"/>
        <item x="6"/>
        <item x="26"/>
        <item x="76"/>
        <item x="16"/>
        <item x="23"/>
        <item x="19"/>
        <item x="62"/>
        <item x="86"/>
        <item x="90"/>
        <item x="82"/>
        <item x="79"/>
        <item x="78"/>
        <item x="72"/>
        <item x="21"/>
        <item x="66"/>
        <item x="20"/>
        <item x="29"/>
        <item x="77"/>
        <item x="42"/>
        <item x="87"/>
        <item x="65"/>
        <item x="73"/>
        <item x="56"/>
        <item x="61"/>
        <item x="45"/>
        <item x="54"/>
        <item x="0"/>
        <item x="12"/>
        <item x="55"/>
        <item x="80"/>
        <item x="40"/>
        <item x="49"/>
        <item x="41"/>
        <item x="33"/>
        <item x="47"/>
        <item x="1"/>
        <item x="13"/>
        <item x="34"/>
        <item x="4"/>
        <item x="22"/>
        <item x="8"/>
        <item x="25"/>
        <item x="17"/>
        <item x="89"/>
        <item x="53"/>
        <item x="52"/>
        <item x="85"/>
        <item x="35"/>
        <item x="18"/>
        <item x="68"/>
        <item x="31"/>
        <item x="9"/>
        <item x="36"/>
        <item x="28"/>
        <item x="32"/>
        <item x="11"/>
        <item x="50"/>
        <item x="67"/>
        <item x="84"/>
        <item x="38"/>
        <item x="14"/>
        <item x="2"/>
        <item x="46"/>
        <item x="5"/>
        <item x="81"/>
        <item x="71"/>
        <item x="75"/>
        <item x="57"/>
        <item x="83"/>
        <item x="69"/>
        <item x="3"/>
        <item x="7"/>
        <item x="44"/>
        <item x="63"/>
        <item x="74"/>
        <item x="27"/>
        <item x="58"/>
        <item x="60"/>
        <item x="37"/>
        <item x="43"/>
        <item x="51"/>
        <item x="88"/>
        <item x="70"/>
        <item x="24"/>
        <item x="30"/>
        <item t="default"/>
      </items>
    </pivotField>
    <pivotField showAll="0"/>
    <pivotField showAll="0"/>
    <pivotField axis="axisPage" dataField="1" showAll="0">
      <items count="89">
        <item x="50"/>
        <item x="84"/>
        <item x="2"/>
        <item x="19"/>
        <item x="76"/>
        <item x="30"/>
        <item x="13"/>
        <item x="73"/>
        <item x="36"/>
        <item x="40"/>
        <item x="20"/>
        <item x="17"/>
        <item x="32"/>
        <item x="6"/>
        <item x="33"/>
        <item x="43"/>
        <item x="75"/>
        <item x="87"/>
        <item x="82"/>
        <item x="63"/>
        <item x="71"/>
        <item x="65"/>
        <item x="67"/>
        <item x="77"/>
        <item x="38"/>
        <item x="72"/>
        <item x="10"/>
        <item x="15"/>
        <item x="3"/>
        <item x="68"/>
        <item x="25"/>
        <item x="37"/>
        <item x="44"/>
        <item x="1"/>
        <item x="58"/>
        <item x="23"/>
        <item x="55"/>
        <item x="52"/>
        <item x="83"/>
        <item x="49"/>
        <item x="42"/>
        <item x="35"/>
        <item x="86"/>
        <item x="81"/>
        <item x="5"/>
        <item x="22"/>
        <item x="51"/>
        <item x="28"/>
        <item x="0"/>
        <item x="62"/>
        <item x="53"/>
        <item x="64"/>
        <item x="80"/>
        <item x="4"/>
        <item x="27"/>
        <item x="12"/>
        <item x="39"/>
        <item x="34"/>
        <item x="56"/>
        <item x="7"/>
        <item x="31"/>
        <item x="26"/>
        <item x="8"/>
        <item x="54"/>
        <item x="61"/>
        <item x="24"/>
        <item x="18"/>
        <item x="21"/>
        <item x="48"/>
        <item x="29"/>
        <item x="70"/>
        <item x="85"/>
        <item x="69"/>
        <item x="16"/>
        <item x="78"/>
        <item x="45"/>
        <item x="59"/>
        <item x="11"/>
        <item x="60"/>
        <item x="66"/>
        <item x="47"/>
        <item x="74"/>
        <item x="14"/>
        <item x="9"/>
        <item x="46"/>
        <item x="41"/>
        <item x="57"/>
        <item x="79"/>
        <item t="default"/>
      </items>
    </pivotField>
    <pivotField numFmtId="14" showAll="0"/>
    <pivotField axis="axisPage" dataField="1" showAll="0">
      <items count="96">
        <item x="8"/>
        <item x="6"/>
        <item x="48"/>
        <item x="47"/>
        <item x="62"/>
        <item x="87"/>
        <item x="12"/>
        <item x="14"/>
        <item x="56"/>
        <item x="16"/>
        <item x="10"/>
        <item x="40"/>
        <item x="84"/>
        <item x="86"/>
        <item x="17"/>
        <item x="42"/>
        <item x="54"/>
        <item x="71"/>
        <item x="74"/>
        <item x="38"/>
        <item x="27"/>
        <item x="21"/>
        <item x="81"/>
        <item x="80"/>
        <item x="4"/>
        <item x="82"/>
        <item x="13"/>
        <item x="92"/>
        <item x="28"/>
        <item x="2"/>
        <item x="22"/>
        <item x="23"/>
        <item x="73"/>
        <item x="45"/>
        <item x="76"/>
        <item x="51"/>
        <item x="79"/>
        <item x="59"/>
        <item x="53"/>
        <item x="70"/>
        <item x="29"/>
        <item x="20"/>
        <item x="55"/>
        <item x="26"/>
        <item x="49"/>
        <item x="35"/>
        <item x="57"/>
        <item x="77"/>
        <item x="61"/>
        <item x="69"/>
        <item x="72"/>
        <item x="58"/>
        <item x="5"/>
        <item x="63"/>
        <item x="34"/>
        <item x="43"/>
        <item x="11"/>
        <item x="7"/>
        <item x="60"/>
        <item x="36"/>
        <item x="89"/>
        <item x="90"/>
        <item x="68"/>
        <item x="91"/>
        <item x="30"/>
        <item x="37"/>
        <item x="52"/>
        <item x="41"/>
        <item x="33"/>
        <item x="85"/>
        <item x="44"/>
        <item x="1"/>
        <item x="93"/>
        <item x="64"/>
        <item x="46"/>
        <item x="15"/>
        <item x="78"/>
        <item x="50"/>
        <item x="3"/>
        <item x="83"/>
        <item x="25"/>
        <item x="39"/>
        <item x="24"/>
        <item x="88"/>
        <item x="67"/>
        <item x="75"/>
        <item x="31"/>
        <item x="0"/>
        <item x="65"/>
        <item x="19"/>
        <item x="18"/>
        <item x="66"/>
        <item x="94"/>
        <item x="9"/>
        <item x="32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7">
    <pageField fld="7" hier="-1"/>
    <pageField fld="16" hier="-1"/>
    <pageField fld="14" hier="-1"/>
    <pageField fld="11" hier="-1"/>
    <pageField fld="10" hier="-1"/>
    <pageField fld="9" hier="-1"/>
    <pageField fld="8" hier="-1"/>
  </pageFields>
  <dataFields count="7">
    <dataField name="Sum of Loan Amount" fld="7" baseField="0" baseItem="0"/>
    <dataField name="Sum of Interest Rate" fld="8" baseField="0" baseItem="0"/>
    <dataField name="Sum of EMI" fld="9" baseField="0" baseItem="0"/>
    <dataField name="Sum of Salary" fld="10" baseField="0" baseItem="0"/>
    <dataField name="Sum of Credit Score" fld="11" baseField="0" baseItem="0"/>
    <dataField name="Sum of Transaction Amount" fld="14" baseField="0" baseItem="0"/>
    <dataField name="Sum of Balanc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90DCB-801D-4E16-BA6A-8A43731634B3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6" firstHeaderRow="1" firstDataRow="1" firstDataCol="1"/>
  <pivotFields count="18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showAll="0">
      <items count="80">
        <item x="24"/>
        <item x="4"/>
        <item x="28"/>
        <item x="47"/>
        <item x="69"/>
        <item x="64"/>
        <item x="45"/>
        <item x="8"/>
        <item x="36"/>
        <item x="44"/>
        <item x="10"/>
        <item x="2"/>
        <item x="60"/>
        <item x="59"/>
        <item x="23"/>
        <item x="75"/>
        <item x="17"/>
        <item x="42"/>
        <item x="33"/>
        <item x="30"/>
        <item x="48"/>
        <item x="61"/>
        <item x="68"/>
        <item x="51"/>
        <item x="66"/>
        <item x="63"/>
        <item x="22"/>
        <item x="56"/>
        <item x="3"/>
        <item x="14"/>
        <item x="55"/>
        <item x="62"/>
        <item x="13"/>
        <item x="9"/>
        <item x="77"/>
        <item x="12"/>
        <item x="65"/>
        <item x="32"/>
        <item x="27"/>
        <item x="74"/>
        <item x="72"/>
        <item x="0"/>
        <item x="18"/>
        <item x="5"/>
        <item x="29"/>
        <item x="39"/>
        <item x="31"/>
        <item x="53"/>
        <item x="52"/>
        <item x="34"/>
        <item x="78"/>
        <item x="43"/>
        <item x="20"/>
        <item x="15"/>
        <item x="40"/>
        <item x="73"/>
        <item x="26"/>
        <item x="58"/>
        <item x="16"/>
        <item x="38"/>
        <item x="19"/>
        <item x="50"/>
        <item x="70"/>
        <item x="6"/>
        <item x="54"/>
        <item x="57"/>
        <item x="21"/>
        <item x="76"/>
        <item x="67"/>
        <item x="46"/>
        <item x="25"/>
        <item x="11"/>
        <item x="49"/>
        <item x="35"/>
        <item x="71"/>
        <item x="1"/>
        <item x="7"/>
        <item x="41"/>
        <item x="37"/>
        <item t="default"/>
      </items>
    </pivotField>
    <pivotField showAll="0">
      <items count="6">
        <item x="0"/>
        <item x="1"/>
        <item x="4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91">
        <item x="45"/>
        <item x="17"/>
        <item x="77"/>
        <item x="43"/>
        <item x="49"/>
        <item x="7"/>
        <item x="73"/>
        <item x="47"/>
        <item x="89"/>
        <item x="28"/>
        <item x="83"/>
        <item x="3"/>
        <item x="30"/>
        <item x="53"/>
        <item x="12"/>
        <item x="14"/>
        <item x="75"/>
        <item x="38"/>
        <item x="51"/>
        <item x="55"/>
        <item x="39"/>
        <item x="42"/>
        <item x="71"/>
        <item x="68"/>
        <item x="85"/>
        <item x="40"/>
        <item x="46"/>
        <item x="76"/>
        <item x="9"/>
        <item x="65"/>
        <item x="59"/>
        <item x="82"/>
        <item x="34"/>
        <item x="32"/>
        <item x="26"/>
        <item x="88"/>
        <item x="11"/>
        <item x="27"/>
        <item x="33"/>
        <item x="1"/>
        <item x="2"/>
        <item x="22"/>
        <item x="13"/>
        <item x="20"/>
        <item x="10"/>
        <item x="48"/>
        <item x="61"/>
        <item x="50"/>
        <item x="21"/>
        <item x="19"/>
        <item x="81"/>
        <item x="56"/>
        <item x="36"/>
        <item x="35"/>
        <item x="15"/>
        <item x="80"/>
        <item x="8"/>
        <item x="74"/>
        <item x="57"/>
        <item x="72"/>
        <item x="52"/>
        <item x="87"/>
        <item x="84"/>
        <item x="78"/>
        <item x="0"/>
        <item x="16"/>
        <item x="4"/>
        <item x="25"/>
        <item x="44"/>
        <item x="70"/>
        <item x="62"/>
        <item x="41"/>
        <item x="24"/>
        <item x="69"/>
        <item x="79"/>
        <item x="5"/>
        <item x="58"/>
        <item x="67"/>
        <item x="31"/>
        <item x="6"/>
        <item x="23"/>
        <item x="18"/>
        <item x="54"/>
        <item x="29"/>
        <item x="37"/>
        <item x="60"/>
        <item x="66"/>
        <item x="64"/>
        <item x="63"/>
        <item x="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>
      <items count="6">
        <item x="2"/>
        <item x="3"/>
        <item x="0"/>
        <item x="1"/>
        <item x="4"/>
        <item t="default"/>
      </items>
    </pivotField>
  </pivotFields>
  <rowFields count="2">
    <field x="3"/>
    <field x="0"/>
  </rowFields>
  <rowItems count="103">
    <i>
      <x/>
    </i>
    <i r="1">
      <x v="1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3"/>
    </i>
    <i r="1">
      <x v="27"/>
    </i>
    <i r="1">
      <x v="28"/>
    </i>
    <i r="1">
      <x v="30"/>
    </i>
    <i r="1">
      <x v="33"/>
    </i>
    <i r="1">
      <x v="38"/>
    </i>
    <i r="1">
      <x v="39"/>
    </i>
    <i r="1">
      <x v="40"/>
    </i>
    <i r="1">
      <x v="41"/>
    </i>
    <i r="1">
      <x v="45"/>
    </i>
    <i r="1">
      <x v="46"/>
    </i>
    <i r="1">
      <x v="49"/>
    </i>
    <i r="1">
      <x v="54"/>
    </i>
    <i r="1">
      <x v="55"/>
    </i>
    <i r="1">
      <x v="56"/>
    </i>
    <i r="1">
      <x v="57"/>
    </i>
    <i r="1">
      <x v="59"/>
    </i>
    <i r="1">
      <x v="61"/>
    </i>
    <i r="1">
      <x v="63"/>
    </i>
    <i r="1">
      <x v="64"/>
    </i>
    <i r="1">
      <x v="66"/>
    </i>
    <i r="1">
      <x v="67"/>
    </i>
    <i r="1">
      <x v="68"/>
    </i>
    <i r="1">
      <x v="71"/>
    </i>
    <i r="1">
      <x v="72"/>
    </i>
    <i r="1">
      <x v="75"/>
    </i>
    <i r="1">
      <x v="79"/>
    </i>
    <i r="1">
      <x v="82"/>
    </i>
    <i r="1">
      <x v="84"/>
    </i>
    <i r="1">
      <x v="87"/>
    </i>
    <i r="1">
      <x v="91"/>
    </i>
    <i r="1">
      <x v="92"/>
    </i>
    <i r="1">
      <x v="94"/>
    </i>
    <i r="1">
      <x v="95"/>
    </i>
    <i r="1">
      <x v="96"/>
    </i>
    <i r="1">
      <x v="97"/>
    </i>
    <i r="1">
      <x v="98"/>
    </i>
    <i>
      <x v="1"/>
    </i>
    <i r="1">
      <x/>
    </i>
    <i r="1">
      <x v="2"/>
    </i>
    <i r="1">
      <x v="3"/>
    </i>
    <i r="1">
      <x v="4"/>
    </i>
    <i r="1">
      <x v="9"/>
    </i>
    <i r="1">
      <x v="16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9"/>
    </i>
    <i r="1">
      <x v="31"/>
    </i>
    <i r="1">
      <x v="32"/>
    </i>
    <i r="1">
      <x v="34"/>
    </i>
    <i r="1">
      <x v="35"/>
    </i>
    <i r="1">
      <x v="36"/>
    </i>
    <i r="1">
      <x v="37"/>
    </i>
    <i r="1">
      <x v="42"/>
    </i>
    <i r="1">
      <x v="43"/>
    </i>
    <i r="1">
      <x v="44"/>
    </i>
    <i r="1">
      <x v="47"/>
    </i>
    <i r="1">
      <x v="48"/>
    </i>
    <i r="1">
      <x v="50"/>
    </i>
    <i r="1">
      <x v="51"/>
    </i>
    <i r="1">
      <x v="52"/>
    </i>
    <i r="1">
      <x v="53"/>
    </i>
    <i r="1">
      <x v="58"/>
    </i>
    <i r="1">
      <x v="60"/>
    </i>
    <i r="1">
      <x v="62"/>
    </i>
    <i r="1">
      <x v="65"/>
    </i>
    <i r="1">
      <x v="69"/>
    </i>
    <i r="1">
      <x v="70"/>
    </i>
    <i r="1">
      <x v="73"/>
    </i>
    <i r="1">
      <x v="74"/>
    </i>
    <i r="1">
      <x v="76"/>
    </i>
    <i r="1">
      <x v="77"/>
    </i>
    <i r="1">
      <x v="78"/>
    </i>
    <i r="1">
      <x v="80"/>
    </i>
    <i r="1">
      <x v="81"/>
    </i>
    <i r="1">
      <x v="83"/>
    </i>
    <i r="1">
      <x v="85"/>
    </i>
    <i r="1">
      <x v="86"/>
    </i>
    <i r="1">
      <x v="88"/>
    </i>
    <i r="1">
      <x v="89"/>
    </i>
    <i r="1">
      <x v="90"/>
    </i>
    <i r="1">
      <x v="93"/>
    </i>
    <i r="1">
      <x v="99"/>
    </i>
    <i t="grand">
      <x/>
    </i>
  </rowItems>
  <colItems count="1">
    <i/>
  </colItems>
  <dataFields count="1">
    <dataField name="Count of Customer Name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C21F28-F122-4D16-9FC1-783E952E0C02}" autoFormatId="16" applyNumberFormats="0" applyBorderFormats="0" applyFontFormats="0" applyPatternFormats="0" applyAlignmentFormats="0" applyWidthHeightFormats="0">
  <queryTableRefresh nextId="19">
    <queryTableFields count="18">
      <queryTableField id="1" name="Customer ID" tableColumnId="1"/>
      <queryTableField id="2" name="Customer Name" tableColumnId="2"/>
      <queryTableField id="3" name="Branch" tableColumnId="3"/>
      <queryTableField id="4" name="Account Type" tableColumnId="4"/>
      <queryTableField id="5" name="Gender" tableColumnId="5"/>
      <queryTableField id="6" name="Age" tableColumnId="6"/>
      <queryTableField id="7" name="Loan Type" tableColumnId="7"/>
      <queryTableField id="8" name="Loan Amount" tableColumnId="8"/>
      <queryTableField id="9" name="Interest Rate" tableColumnId="9"/>
      <queryTableField id="10" name="EMI" tableColumnId="10"/>
      <queryTableField id="11" name="Salary" tableColumnId="11"/>
      <queryTableField id="12" name="Credit Score" tableColumnId="12"/>
      <queryTableField id="13" name="Loan Status" tableColumnId="13"/>
      <queryTableField id="14" name="Transaction Type" tableColumnId="14"/>
      <queryTableField id="15" name="Transaction Amount" tableColumnId="15"/>
      <queryTableField id="16" name="Transaction Date" tableColumnId="16"/>
      <queryTableField id="17" name="Balance" tableColumnId="17"/>
      <queryTableField id="18" name="Relationship Manager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C308E3-27F7-4D34-A3C5-24B79AAB9361}" name="Banking_Data_100_Records" displayName="Banking_Data_100_Records" ref="A1:R102" tableType="queryTable" totalsRowCount="1">
  <autoFilter ref="A1:R101" xr:uid="{E3C308E3-27F7-4D34-A3C5-24B79AAB9361}"/>
  <tableColumns count="18">
    <tableColumn id="1" xr3:uid="{50B8AF34-4686-47BF-BC7E-4B11AF4042EA}" uniqueName="1" name="Customer ID" queryTableFieldId="1" dataDxfId="19" totalsRowDxfId="18"/>
    <tableColumn id="2" xr3:uid="{9E3AF055-B2A3-4013-A66D-CD85EE2EC423}" uniqueName="2" name="Customer Name" queryTableFieldId="2" dataDxfId="17" totalsRowDxfId="16"/>
    <tableColumn id="3" xr3:uid="{65C96B89-0EAA-434B-A050-ECBF710B962E}" uniqueName="3" name="Branch" queryTableFieldId="3" dataDxfId="15" totalsRowDxfId="14"/>
    <tableColumn id="4" xr3:uid="{3741C897-7A79-4DB2-AF7E-CC0EF6BEA7F7}" uniqueName="4" name="Account Type" queryTableFieldId="4" dataDxfId="13" totalsRowDxfId="12"/>
    <tableColumn id="5" xr3:uid="{A79DF38E-E469-4492-9589-09D8D0077152}" uniqueName="5" name="Gender" queryTableFieldId="5" dataDxfId="11" totalsRowDxfId="10"/>
    <tableColumn id="6" xr3:uid="{FCC89949-F9AA-4B5B-8257-C59B687360E8}" uniqueName="6" name="Age" queryTableFieldId="6"/>
    <tableColumn id="7" xr3:uid="{F3E24935-3E87-4C73-BE62-B30D142C427B}" uniqueName="7" name="Loan Type" queryTableFieldId="7" dataDxfId="9" totalsRowDxfId="8"/>
    <tableColumn id="8" xr3:uid="{C0324670-3157-4644-ADDB-5D646866BBAA}" uniqueName="8" name="Loan Amount" queryTableFieldId="8"/>
    <tableColumn id="9" xr3:uid="{3E878AF0-04F3-4ACC-A188-F194ED893D03}" uniqueName="9" name="Interest Rate" queryTableFieldId="9"/>
    <tableColumn id="10" xr3:uid="{D4CAD12D-54E4-4484-B4F0-BBF30CAE3779}" uniqueName="10" name="EMI" queryTableFieldId="10"/>
    <tableColumn id="11" xr3:uid="{FF29CDF5-1DC6-4C84-89E7-FFD0971DD864}" uniqueName="11" name="Salary" queryTableFieldId="11"/>
    <tableColumn id="12" xr3:uid="{01EECE02-814A-4313-A735-DC05ADE5C48D}" uniqueName="12" name="Credit Score" queryTableFieldId="12"/>
    <tableColumn id="13" xr3:uid="{538E01E6-A144-4ADB-A383-D9F249FDB4F1}" uniqueName="13" name="Loan Status" queryTableFieldId="13" dataDxfId="7" totalsRowDxfId="6"/>
    <tableColumn id="14" xr3:uid="{BA1F3794-8D4A-4910-9627-D5C0F3D7012E}" uniqueName="14" name="Transaction Type" queryTableFieldId="14" dataDxfId="5" totalsRowDxfId="4"/>
    <tableColumn id="15" xr3:uid="{217C15A3-DF24-45E5-A33A-5125E32C3FF6}" uniqueName="15" name="Transaction Amount" queryTableFieldId="15"/>
    <tableColumn id="16" xr3:uid="{042491FD-C344-457B-98D2-7E29C36DBBFC}" uniqueName="16" name="Transaction Date" queryTableFieldId="16" dataDxfId="3" totalsRowDxfId="2"/>
    <tableColumn id="17" xr3:uid="{96E167C5-FF4D-4F1F-A95D-FC2AE340ACCE}" uniqueName="17" name="Balance" queryTableFieldId="17"/>
    <tableColumn id="18" xr3:uid="{321A1B1F-3972-438F-9C77-20669E323159}" uniqueName="18" name="Relationship Manager" queryTableFieldId="18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4469-CE06-4A88-AAD7-709A7AA3155C}">
  <dimension ref="A1:N106"/>
  <sheetViews>
    <sheetView tabSelected="1" workbookViewId="0">
      <selection activeCell="G8" sqref="G8"/>
    </sheetView>
  </sheetViews>
  <sheetFormatPr defaultRowHeight="14.5" x14ac:dyDescent="0.35"/>
  <cols>
    <col min="1" max="1" width="12.453125" bestFit="1" customWidth="1"/>
    <col min="2" max="2" width="22" bestFit="1" customWidth="1"/>
    <col min="3" max="3" width="10.08984375" bestFit="1" customWidth="1"/>
    <col min="4" max="4" width="11" bestFit="1" customWidth="1"/>
    <col min="5" max="5" width="12.36328125" bestFit="1" customWidth="1"/>
    <col min="6" max="6" width="11.26953125" bestFit="1" customWidth="1"/>
    <col min="7" max="7" width="17.1796875" bestFit="1" customWidth="1"/>
    <col min="8" max="8" width="18.08984375" bestFit="1" customWidth="1"/>
    <col min="9" max="9" width="17.81640625" bestFit="1" customWidth="1"/>
    <col min="10" max="10" width="10.81640625" bestFit="1" customWidth="1"/>
    <col min="11" max="11" width="12.1796875" bestFit="1" customWidth="1"/>
    <col min="12" max="12" width="17.453125" bestFit="1" customWidth="1"/>
    <col min="13" max="13" width="24" bestFit="1" customWidth="1"/>
    <col min="14" max="14" width="13.81640625" bestFit="1" customWidth="1"/>
    <col min="15" max="15" width="11" bestFit="1" customWidth="1"/>
    <col min="16" max="16" width="16.36328125" bestFit="1" customWidth="1"/>
    <col min="17" max="17" width="11.36328125" bestFit="1" customWidth="1"/>
    <col min="18" max="18" width="11" bestFit="1" customWidth="1"/>
    <col min="19" max="19" width="12.26953125" bestFit="1" customWidth="1"/>
    <col min="20" max="20" width="14.36328125" bestFit="1" customWidth="1"/>
    <col min="21" max="21" width="10.26953125" bestFit="1" customWidth="1"/>
    <col min="22" max="22" width="9.36328125" bestFit="1" customWidth="1"/>
    <col min="23" max="23" width="11.6328125" bestFit="1" customWidth="1"/>
    <col min="24" max="24" width="9.90625" bestFit="1" customWidth="1"/>
    <col min="25" max="25" width="13.1796875" bestFit="1" customWidth="1"/>
    <col min="26" max="26" width="9.90625" bestFit="1" customWidth="1"/>
    <col min="27" max="27" width="12.54296875" bestFit="1" customWidth="1"/>
    <col min="28" max="28" width="11.453125" bestFit="1" customWidth="1"/>
    <col min="29" max="29" width="15.54296875" bestFit="1" customWidth="1"/>
    <col min="30" max="30" width="10.54296875" bestFit="1" customWidth="1"/>
    <col min="31" max="31" width="11.453125" bestFit="1" customWidth="1"/>
    <col min="32" max="32" width="11.7265625" bestFit="1" customWidth="1"/>
    <col min="33" max="33" width="10.26953125" bestFit="1" customWidth="1"/>
    <col min="34" max="34" width="9.36328125" bestFit="1" customWidth="1"/>
    <col min="35" max="35" width="11.6328125" bestFit="1" customWidth="1"/>
    <col min="36" max="36" width="14.08984375" bestFit="1" customWidth="1"/>
    <col min="37" max="37" width="9.08984375" bestFit="1" customWidth="1"/>
    <col min="38" max="38" width="10" bestFit="1" customWidth="1"/>
    <col min="39" max="39" width="11.36328125" bestFit="1" customWidth="1"/>
    <col min="40" max="40" width="10" bestFit="1" customWidth="1"/>
    <col min="41" max="41" width="12.453125" bestFit="1" customWidth="1"/>
    <col min="42" max="42" width="10.1796875" bestFit="1" customWidth="1"/>
    <col min="43" max="43" width="10.08984375" bestFit="1" customWidth="1"/>
    <col min="44" max="44" width="9.1796875" bestFit="1" customWidth="1"/>
    <col min="45" max="45" width="11.453125" bestFit="1" customWidth="1"/>
    <col min="46" max="46" width="10.36328125" bestFit="1" customWidth="1"/>
    <col min="47" max="47" width="10.08984375" bestFit="1" customWidth="1"/>
    <col min="48" max="48" width="14.90625" bestFit="1" customWidth="1"/>
    <col min="49" max="49" width="9.54296875" bestFit="1" customWidth="1"/>
    <col min="50" max="50" width="10.453125" bestFit="1" customWidth="1"/>
    <col min="51" max="51" width="11.08984375" bestFit="1" customWidth="1"/>
    <col min="52" max="52" width="10.81640625" bestFit="1" customWidth="1"/>
    <col min="53" max="54" width="12.08984375" bestFit="1" customWidth="1"/>
    <col min="55" max="55" width="13.54296875" bestFit="1" customWidth="1"/>
    <col min="56" max="56" width="12.08984375" bestFit="1" customWidth="1"/>
    <col min="57" max="57" width="13.6328125" bestFit="1" customWidth="1"/>
    <col min="58" max="58" width="8.26953125" bestFit="1" customWidth="1"/>
    <col min="59" max="59" width="10.90625" bestFit="1" customWidth="1"/>
    <col min="60" max="60" width="9.1796875" bestFit="1" customWidth="1"/>
    <col min="61" max="61" width="10" bestFit="1" customWidth="1"/>
    <col min="62" max="62" width="15.81640625" bestFit="1" customWidth="1"/>
    <col min="63" max="63" width="11.7265625" bestFit="1" customWidth="1"/>
    <col min="64" max="64" width="13.7265625" bestFit="1" customWidth="1"/>
    <col min="65" max="65" width="10.453125" bestFit="1" customWidth="1"/>
    <col min="66" max="66" width="11.36328125" bestFit="1" customWidth="1"/>
    <col min="67" max="67" width="12" bestFit="1" customWidth="1"/>
    <col min="68" max="68" width="9.6328125" bestFit="1" customWidth="1"/>
    <col min="69" max="69" width="9.26953125" bestFit="1" customWidth="1"/>
    <col min="70" max="70" width="11.90625" bestFit="1" customWidth="1"/>
    <col min="71" max="71" width="15.26953125" bestFit="1" customWidth="1"/>
    <col min="72" max="72" width="11.1796875" bestFit="1" customWidth="1"/>
    <col min="73" max="73" width="12.54296875" bestFit="1" customWidth="1"/>
    <col min="74" max="74" width="10.81640625" bestFit="1" customWidth="1"/>
    <col min="75" max="75" width="10.54296875" bestFit="1" customWidth="1"/>
    <col min="76" max="76" width="12.453125" bestFit="1" customWidth="1"/>
    <col min="77" max="77" width="10.54296875" bestFit="1" customWidth="1"/>
    <col min="78" max="78" width="11.90625" bestFit="1" customWidth="1"/>
    <col min="79" max="79" width="14.54296875" bestFit="1" customWidth="1"/>
    <col min="80" max="80" width="10.453125" bestFit="1" customWidth="1"/>
    <col min="81" max="81" width="10.36328125" bestFit="1" customWidth="1"/>
    <col min="82" max="90" width="16.36328125" bestFit="1" customWidth="1"/>
    <col min="91" max="91" width="11.7265625" bestFit="1" customWidth="1"/>
    <col min="92" max="92" width="10.36328125" bestFit="1" customWidth="1"/>
  </cols>
  <sheetData>
    <row r="1" spans="1:14" x14ac:dyDescent="0.35">
      <c r="G1" s="28" t="s">
        <v>7</v>
      </c>
      <c r="H1" t="s">
        <v>238</v>
      </c>
    </row>
    <row r="2" spans="1:14" x14ac:dyDescent="0.35">
      <c r="G2" s="28" t="s">
        <v>16</v>
      </c>
      <c r="H2" t="s">
        <v>238</v>
      </c>
    </row>
    <row r="3" spans="1:14" x14ac:dyDescent="0.35">
      <c r="A3" s="28" t="s">
        <v>236</v>
      </c>
      <c r="B3" t="s">
        <v>240</v>
      </c>
      <c r="G3" s="28" t="s">
        <v>14</v>
      </c>
      <c r="H3" t="s">
        <v>238</v>
      </c>
    </row>
    <row r="4" spans="1:14" x14ac:dyDescent="0.35">
      <c r="A4" s="29" t="s">
        <v>29</v>
      </c>
      <c r="B4" s="1">
        <v>51</v>
      </c>
      <c r="G4" s="28" t="s">
        <v>11</v>
      </c>
      <c r="H4" t="s">
        <v>238</v>
      </c>
    </row>
    <row r="5" spans="1:14" x14ac:dyDescent="0.35">
      <c r="A5" s="30" t="s">
        <v>27</v>
      </c>
      <c r="B5" s="1">
        <v>1</v>
      </c>
      <c r="G5" s="28" t="s">
        <v>10</v>
      </c>
      <c r="H5" t="s">
        <v>238</v>
      </c>
    </row>
    <row r="6" spans="1:14" x14ac:dyDescent="0.35">
      <c r="A6" s="30" t="s">
        <v>46</v>
      </c>
      <c r="B6" s="1">
        <v>1</v>
      </c>
      <c r="G6" s="28" t="s">
        <v>9</v>
      </c>
      <c r="H6" t="s">
        <v>238</v>
      </c>
    </row>
    <row r="7" spans="1:14" x14ac:dyDescent="0.35">
      <c r="A7" s="30" t="s">
        <v>49</v>
      </c>
      <c r="B7" s="1">
        <v>1</v>
      </c>
      <c r="G7" s="28" t="s">
        <v>8</v>
      </c>
      <c r="H7" t="s">
        <v>238</v>
      </c>
    </row>
    <row r="8" spans="1:14" x14ac:dyDescent="0.35">
      <c r="A8" s="30" t="s">
        <v>52</v>
      </c>
      <c r="B8" s="1">
        <v>1</v>
      </c>
    </row>
    <row r="9" spans="1:14" x14ac:dyDescent="0.35">
      <c r="A9" s="30" t="s">
        <v>55</v>
      </c>
      <c r="B9" s="1">
        <v>1</v>
      </c>
      <c r="G9" s="28" t="s">
        <v>236</v>
      </c>
      <c r="H9" t="s">
        <v>239</v>
      </c>
      <c r="I9" t="s">
        <v>241</v>
      </c>
      <c r="J9" t="s">
        <v>242</v>
      </c>
      <c r="K9" t="s">
        <v>243</v>
      </c>
      <c r="L9" t="s">
        <v>244</v>
      </c>
      <c r="M9" t="s">
        <v>245</v>
      </c>
      <c r="N9" t="s">
        <v>246</v>
      </c>
    </row>
    <row r="10" spans="1:14" x14ac:dyDescent="0.35">
      <c r="A10" s="30" t="s">
        <v>61</v>
      </c>
      <c r="B10" s="1">
        <v>1</v>
      </c>
      <c r="G10" s="29" t="s">
        <v>20</v>
      </c>
      <c r="H10" s="1">
        <v>18605000</v>
      </c>
      <c r="I10" s="1">
        <v>205.23000000000002</v>
      </c>
      <c r="J10" s="1">
        <v>480680.80000000005</v>
      </c>
      <c r="K10" s="1">
        <v>1595000</v>
      </c>
      <c r="L10" s="1">
        <v>10969</v>
      </c>
      <c r="M10" s="1">
        <v>1599000</v>
      </c>
      <c r="N10" s="1">
        <v>10177000</v>
      </c>
    </row>
    <row r="11" spans="1:14" x14ac:dyDescent="0.35">
      <c r="A11" s="30" t="s">
        <v>63</v>
      </c>
      <c r="B11" s="1">
        <v>1</v>
      </c>
      <c r="G11" s="29" t="s">
        <v>35</v>
      </c>
      <c r="H11" s="1">
        <v>27475000</v>
      </c>
      <c r="I11" s="1">
        <v>261.91999999999996</v>
      </c>
      <c r="J11" s="1">
        <v>705302.77</v>
      </c>
      <c r="K11" s="1">
        <v>1752000</v>
      </c>
      <c r="L11" s="1">
        <v>15302</v>
      </c>
      <c r="M11" s="1">
        <v>2040000</v>
      </c>
      <c r="N11" s="1">
        <v>11119000</v>
      </c>
    </row>
    <row r="12" spans="1:14" x14ac:dyDescent="0.35">
      <c r="A12" s="30" t="s">
        <v>65</v>
      </c>
      <c r="B12" s="1">
        <v>1</v>
      </c>
      <c r="G12" s="29" t="s">
        <v>71</v>
      </c>
      <c r="H12" s="1">
        <v>12250000</v>
      </c>
      <c r="I12" s="1">
        <v>124.7</v>
      </c>
      <c r="J12" s="1">
        <v>312336.8</v>
      </c>
      <c r="K12" s="1">
        <v>837000</v>
      </c>
      <c r="L12" s="1">
        <v>6615</v>
      </c>
      <c r="M12" s="1">
        <v>1324000</v>
      </c>
      <c r="N12" s="1">
        <v>5419000</v>
      </c>
    </row>
    <row r="13" spans="1:14" x14ac:dyDescent="0.35">
      <c r="A13" s="30" t="s">
        <v>67</v>
      </c>
      <c r="B13" s="1">
        <v>1</v>
      </c>
      <c r="G13" s="29" t="s">
        <v>48</v>
      </c>
      <c r="H13" s="1">
        <v>30215000</v>
      </c>
      <c r="I13" s="1">
        <v>243.64</v>
      </c>
      <c r="J13" s="1">
        <v>759910.15000000014</v>
      </c>
      <c r="K13" s="1">
        <v>2094000</v>
      </c>
      <c r="L13" s="1">
        <v>15514</v>
      </c>
      <c r="M13" s="1">
        <v>2740000</v>
      </c>
      <c r="N13" s="1">
        <v>8615000</v>
      </c>
    </row>
    <row r="14" spans="1:14" x14ac:dyDescent="0.35">
      <c r="A14" s="30" t="s">
        <v>69</v>
      </c>
      <c r="B14" s="1">
        <v>1</v>
      </c>
      <c r="G14" s="29" t="s">
        <v>40</v>
      </c>
      <c r="H14" s="1">
        <v>20045000</v>
      </c>
      <c r="I14" s="1">
        <v>225.5</v>
      </c>
      <c r="J14" s="1">
        <v>520843.7</v>
      </c>
      <c r="K14" s="1">
        <v>1980000</v>
      </c>
      <c r="L14" s="1">
        <v>12061</v>
      </c>
      <c r="M14" s="1">
        <v>1635500</v>
      </c>
      <c r="N14" s="1">
        <v>11732000</v>
      </c>
    </row>
    <row r="15" spans="1:14" x14ac:dyDescent="0.35">
      <c r="A15" s="30" t="s">
        <v>72</v>
      </c>
      <c r="B15" s="1">
        <v>1</v>
      </c>
      <c r="G15" s="29" t="s">
        <v>237</v>
      </c>
      <c r="H15" s="1">
        <v>108590000</v>
      </c>
      <c r="I15" s="1">
        <v>1060.99</v>
      </c>
      <c r="J15" s="1">
        <v>2779074.2200000007</v>
      </c>
      <c r="K15" s="1">
        <v>8258000</v>
      </c>
      <c r="L15" s="1">
        <v>60461</v>
      </c>
      <c r="M15" s="1">
        <v>9338500</v>
      </c>
      <c r="N15" s="1">
        <v>47062000</v>
      </c>
    </row>
    <row r="16" spans="1:14" x14ac:dyDescent="0.35">
      <c r="A16" s="30" t="s">
        <v>76</v>
      </c>
      <c r="B16" s="1">
        <v>1</v>
      </c>
    </row>
    <row r="17" spans="1:2" x14ac:dyDescent="0.35">
      <c r="A17" s="30" t="s">
        <v>78</v>
      </c>
      <c r="B17" s="1">
        <v>1</v>
      </c>
    </row>
    <row r="18" spans="1:2" x14ac:dyDescent="0.35">
      <c r="A18" s="30" t="s">
        <v>80</v>
      </c>
      <c r="B18" s="1">
        <v>1</v>
      </c>
    </row>
    <row r="19" spans="1:2" x14ac:dyDescent="0.35">
      <c r="A19" s="30" t="s">
        <v>87</v>
      </c>
      <c r="B19" s="1">
        <v>1</v>
      </c>
    </row>
    <row r="20" spans="1:2" x14ac:dyDescent="0.35">
      <c r="A20" s="30" t="s">
        <v>94</v>
      </c>
      <c r="B20" s="1">
        <v>1</v>
      </c>
    </row>
    <row r="21" spans="1:2" x14ac:dyDescent="0.35">
      <c r="A21" s="30" t="s">
        <v>96</v>
      </c>
      <c r="B21" s="1">
        <v>1</v>
      </c>
    </row>
    <row r="22" spans="1:2" x14ac:dyDescent="0.35">
      <c r="A22" s="30" t="s">
        <v>100</v>
      </c>
      <c r="B22" s="1">
        <v>1</v>
      </c>
    </row>
    <row r="23" spans="1:2" x14ac:dyDescent="0.35">
      <c r="A23" s="30" t="s">
        <v>106</v>
      </c>
      <c r="B23" s="1">
        <v>1</v>
      </c>
    </row>
    <row r="24" spans="1:2" x14ac:dyDescent="0.35">
      <c r="A24" s="30" t="s">
        <v>115</v>
      </c>
      <c r="B24" s="1">
        <v>1</v>
      </c>
    </row>
    <row r="25" spans="1:2" x14ac:dyDescent="0.35">
      <c r="A25" s="30" t="s">
        <v>117</v>
      </c>
      <c r="B25" s="1">
        <v>1</v>
      </c>
    </row>
    <row r="26" spans="1:2" x14ac:dyDescent="0.35">
      <c r="A26" s="30" t="s">
        <v>118</v>
      </c>
      <c r="B26" s="1">
        <v>1</v>
      </c>
    </row>
    <row r="27" spans="1:2" x14ac:dyDescent="0.35">
      <c r="A27" s="30" t="s">
        <v>120</v>
      </c>
      <c r="B27" s="1">
        <v>1</v>
      </c>
    </row>
    <row r="28" spans="1:2" x14ac:dyDescent="0.35">
      <c r="A28" s="30" t="s">
        <v>128</v>
      </c>
      <c r="B28" s="1">
        <v>1</v>
      </c>
    </row>
    <row r="29" spans="1:2" x14ac:dyDescent="0.35">
      <c r="A29" s="30" t="s">
        <v>130</v>
      </c>
      <c r="B29" s="1">
        <v>1</v>
      </c>
    </row>
    <row r="30" spans="1:2" x14ac:dyDescent="0.35">
      <c r="A30" s="30" t="s">
        <v>135</v>
      </c>
      <c r="B30" s="1">
        <v>1</v>
      </c>
    </row>
    <row r="31" spans="1:2" x14ac:dyDescent="0.35">
      <c r="A31" s="30" t="s">
        <v>144</v>
      </c>
      <c r="B31" s="1">
        <v>1</v>
      </c>
    </row>
    <row r="32" spans="1:2" x14ac:dyDescent="0.35">
      <c r="A32" s="30" t="s">
        <v>146</v>
      </c>
      <c r="B32" s="1">
        <v>1</v>
      </c>
    </row>
    <row r="33" spans="1:2" x14ac:dyDescent="0.35">
      <c r="A33" s="30" t="s">
        <v>148</v>
      </c>
      <c r="B33" s="1">
        <v>1</v>
      </c>
    </row>
    <row r="34" spans="1:2" x14ac:dyDescent="0.35">
      <c r="A34" s="30" t="s">
        <v>150</v>
      </c>
      <c r="B34" s="1">
        <v>1</v>
      </c>
    </row>
    <row r="35" spans="1:2" x14ac:dyDescent="0.35">
      <c r="A35" s="30" t="s">
        <v>153</v>
      </c>
      <c r="B35" s="1">
        <v>1</v>
      </c>
    </row>
    <row r="36" spans="1:2" x14ac:dyDescent="0.35">
      <c r="A36" s="30" t="s">
        <v>157</v>
      </c>
      <c r="B36" s="1">
        <v>1</v>
      </c>
    </row>
    <row r="37" spans="1:2" x14ac:dyDescent="0.35">
      <c r="A37" s="30" t="s">
        <v>161</v>
      </c>
      <c r="B37" s="1">
        <v>1</v>
      </c>
    </row>
    <row r="38" spans="1:2" x14ac:dyDescent="0.35">
      <c r="A38" s="30" t="s">
        <v>163</v>
      </c>
      <c r="B38" s="1">
        <v>1</v>
      </c>
    </row>
    <row r="39" spans="1:2" x14ac:dyDescent="0.35">
      <c r="A39" s="30" t="s">
        <v>167</v>
      </c>
      <c r="B39" s="1">
        <v>1</v>
      </c>
    </row>
    <row r="40" spans="1:2" x14ac:dyDescent="0.35">
      <c r="A40" s="30" t="s">
        <v>169</v>
      </c>
      <c r="B40" s="1">
        <v>1</v>
      </c>
    </row>
    <row r="41" spans="1:2" x14ac:dyDescent="0.35">
      <c r="A41" s="30" t="s">
        <v>171</v>
      </c>
      <c r="B41" s="1">
        <v>1</v>
      </c>
    </row>
    <row r="42" spans="1:2" x14ac:dyDescent="0.35">
      <c r="A42" s="30" t="s">
        <v>175</v>
      </c>
      <c r="B42" s="1">
        <v>1</v>
      </c>
    </row>
    <row r="43" spans="1:2" x14ac:dyDescent="0.35">
      <c r="A43" s="30" t="s">
        <v>177</v>
      </c>
      <c r="B43" s="1">
        <v>1</v>
      </c>
    </row>
    <row r="44" spans="1:2" x14ac:dyDescent="0.35">
      <c r="A44" s="30" t="s">
        <v>182</v>
      </c>
      <c r="B44" s="1">
        <v>1</v>
      </c>
    </row>
    <row r="45" spans="1:2" x14ac:dyDescent="0.35">
      <c r="A45" s="30" t="s">
        <v>189</v>
      </c>
      <c r="B45" s="1">
        <v>1</v>
      </c>
    </row>
    <row r="46" spans="1:2" x14ac:dyDescent="0.35">
      <c r="A46" s="30" t="s">
        <v>194</v>
      </c>
      <c r="B46" s="1">
        <v>1</v>
      </c>
    </row>
    <row r="47" spans="1:2" x14ac:dyDescent="0.35">
      <c r="A47" s="30" t="s">
        <v>197</v>
      </c>
      <c r="B47" s="1">
        <v>1</v>
      </c>
    </row>
    <row r="48" spans="1:2" x14ac:dyDescent="0.35">
      <c r="A48" s="30" t="s">
        <v>202</v>
      </c>
      <c r="B48" s="1">
        <v>1</v>
      </c>
    </row>
    <row r="49" spans="1:2" x14ac:dyDescent="0.35">
      <c r="A49" s="30" t="s">
        <v>209</v>
      </c>
      <c r="B49" s="1">
        <v>1</v>
      </c>
    </row>
    <row r="50" spans="1:2" x14ac:dyDescent="0.35">
      <c r="A50" s="30" t="s">
        <v>210</v>
      </c>
      <c r="B50" s="1">
        <v>1</v>
      </c>
    </row>
    <row r="51" spans="1:2" x14ac:dyDescent="0.35">
      <c r="A51" s="30" t="s">
        <v>213</v>
      </c>
      <c r="B51" s="1">
        <v>1</v>
      </c>
    </row>
    <row r="52" spans="1:2" x14ac:dyDescent="0.35">
      <c r="A52" s="30" t="s">
        <v>214</v>
      </c>
      <c r="B52" s="1">
        <v>1</v>
      </c>
    </row>
    <row r="53" spans="1:2" x14ac:dyDescent="0.35">
      <c r="A53" s="30" t="s">
        <v>215</v>
      </c>
      <c r="B53" s="1">
        <v>1</v>
      </c>
    </row>
    <row r="54" spans="1:2" x14ac:dyDescent="0.35">
      <c r="A54" s="30" t="s">
        <v>216</v>
      </c>
      <c r="B54" s="1">
        <v>1</v>
      </c>
    </row>
    <row r="55" spans="1:2" x14ac:dyDescent="0.35">
      <c r="A55" s="30" t="s">
        <v>218</v>
      </c>
      <c r="B55" s="1">
        <v>1</v>
      </c>
    </row>
    <row r="56" spans="1:2" x14ac:dyDescent="0.35">
      <c r="A56" s="29" t="s">
        <v>21</v>
      </c>
      <c r="B56" s="1">
        <v>49</v>
      </c>
    </row>
    <row r="57" spans="1:2" x14ac:dyDescent="0.35">
      <c r="A57" s="30" t="s">
        <v>18</v>
      </c>
      <c r="B57" s="1">
        <v>1</v>
      </c>
    </row>
    <row r="58" spans="1:2" x14ac:dyDescent="0.35">
      <c r="A58" s="30" t="s">
        <v>33</v>
      </c>
      <c r="B58" s="1">
        <v>1</v>
      </c>
    </row>
    <row r="59" spans="1:2" x14ac:dyDescent="0.35">
      <c r="A59" s="30" t="s">
        <v>38</v>
      </c>
      <c r="B59" s="1">
        <v>1</v>
      </c>
    </row>
    <row r="60" spans="1:2" x14ac:dyDescent="0.35">
      <c r="A60" s="30" t="s">
        <v>42</v>
      </c>
      <c r="B60" s="1">
        <v>1</v>
      </c>
    </row>
    <row r="61" spans="1:2" x14ac:dyDescent="0.35">
      <c r="A61" s="30" t="s">
        <v>58</v>
      </c>
      <c r="B61" s="1">
        <v>1</v>
      </c>
    </row>
    <row r="62" spans="1:2" x14ac:dyDescent="0.35">
      <c r="A62" s="30" t="s">
        <v>74</v>
      </c>
      <c r="B62" s="1">
        <v>1</v>
      </c>
    </row>
    <row r="63" spans="1:2" x14ac:dyDescent="0.35">
      <c r="A63" s="30" t="s">
        <v>82</v>
      </c>
      <c r="B63" s="1">
        <v>1</v>
      </c>
    </row>
    <row r="64" spans="1:2" x14ac:dyDescent="0.35">
      <c r="A64" s="30" t="s">
        <v>84</v>
      </c>
      <c r="B64" s="1">
        <v>1</v>
      </c>
    </row>
    <row r="65" spans="1:2" x14ac:dyDescent="0.35">
      <c r="A65" s="30" t="s">
        <v>86</v>
      </c>
      <c r="B65" s="1">
        <v>1</v>
      </c>
    </row>
    <row r="66" spans="1:2" x14ac:dyDescent="0.35">
      <c r="A66" s="30" t="s">
        <v>89</v>
      </c>
      <c r="B66" s="1">
        <v>1</v>
      </c>
    </row>
    <row r="67" spans="1:2" x14ac:dyDescent="0.35">
      <c r="A67" s="30" t="s">
        <v>91</v>
      </c>
      <c r="B67" s="1">
        <v>1</v>
      </c>
    </row>
    <row r="68" spans="1:2" x14ac:dyDescent="0.35">
      <c r="A68" s="30" t="s">
        <v>93</v>
      </c>
      <c r="B68" s="1">
        <v>1</v>
      </c>
    </row>
    <row r="69" spans="1:2" x14ac:dyDescent="0.35">
      <c r="A69" s="30" t="s">
        <v>98</v>
      </c>
      <c r="B69" s="1">
        <v>1</v>
      </c>
    </row>
    <row r="70" spans="1:2" x14ac:dyDescent="0.35">
      <c r="A70" s="30" t="s">
        <v>102</v>
      </c>
      <c r="B70" s="1">
        <v>1</v>
      </c>
    </row>
    <row r="71" spans="1:2" x14ac:dyDescent="0.35">
      <c r="A71" s="30" t="s">
        <v>104</v>
      </c>
      <c r="B71" s="1">
        <v>1</v>
      </c>
    </row>
    <row r="72" spans="1:2" x14ac:dyDescent="0.35">
      <c r="A72" s="30" t="s">
        <v>108</v>
      </c>
      <c r="B72" s="1">
        <v>1</v>
      </c>
    </row>
    <row r="73" spans="1:2" x14ac:dyDescent="0.35">
      <c r="A73" s="30" t="s">
        <v>110</v>
      </c>
      <c r="B73" s="1">
        <v>1</v>
      </c>
    </row>
    <row r="74" spans="1:2" x14ac:dyDescent="0.35">
      <c r="A74" s="30" t="s">
        <v>112</v>
      </c>
      <c r="B74" s="1">
        <v>1</v>
      </c>
    </row>
    <row r="75" spans="1:2" x14ac:dyDescent="0.35">
      <c r="A75" s="30" t="s">
        <v>113</v>
      </c>
      <c r="B75" s="1">
        <v>1</v>
      </c>
    </row>
    <row r="76" spans="1:2" x14ac:dyDescent="0.35">
      <c r="A76" s="30" t="s">
        <v>122</v>
      </c>
      <c r="B76" s="1">
        <v>1</v>
      </c>
    </row>
    <row r="77" spans="1:2" x14ac:dyDescent="0.35">
      <c r="A77" s="30" t="s">
        <v>124</v>
      </c>
      <c r="B77" s="1">
        <v>1</v>
      </c>
    </row>
    <row r="78" spans="1:2" x14ac:dyDescent="0.35">
      <c r="A78" s="30" t="s">
        <v>126</v>
      </c>
      <c r="B78" s="1">
        <v>1</v>
      </c>
    </row>
    <row r="79" spans="1:2" x14ac:dyDescent="0.35">
      <c r="A79" s="30" t="s">
        <v>131</v>
      </c>
      <c r="B79" s="1">
        <v>1</v>
      </c>
    </row>
    <row r="80" spans="1:2" x14ac:dyDescent="0.35">
      <c r="A80" s="30" t="s">
        <v>133</v>
      </c>
      <c r="B80" s="1">
        <v>1</v>
      </c>
    </row>
    <row r="81" spans="1:2" x14ac:dyDescent="0.35">
      <c r="A81" s="30" t="s">
        <v>137</v>
      </c>
      <c r="B81" s="1">
        <v>1</v>
      </c>
    </row>
    <row r="82" spans="1:2" x14ac:dyDescent="0.35">
      <c r="A82" s="30" t="s">
        <v>139</v>
      </c>
      <c r="B82" s="1">
        <v>1</v>
      </c>
    </row>
    <row r="83" spans="1:2" x14ac:dyDescent="0.35">
      <c r="A83" s="30" t="s">
        <v>141</v>
      </c>
      <c r="B83" s="1">
        <v>1</v>
      </c>
    </row>
    <row r="84" spans="1:2" x14ac:dyDescent="0.35">
      <c r="A84" s="30" t="s">
        <v>143</v>
      </c>
      <c r="B84" s="1">
        <v>1</v>
      </c>
    </row>
    <row r="85" spans="1:2" x14ac:dyDescent="0.35">
      <c r="A85" s="30" t="s">
        <v>151</v>
      </c>
      <c r="B85" s="1">
        <v>1</v>
      </c>
    </row>
    <row r="86" spans="1:2" x14ac:dyDescent="0.35">
      <c r="A86" s="30" t="s">
        <v>155</v>
      </c>
      <c r="B86" s="1">
        <v>1</v>
      </c>
    </row>
    <row r="87" spans="1:2" x14ac:dyDescent="0.35">
      <c r="A87" s="30" t="s">
        <v>159</v>
      </c>
      <c r="B87" s="1">
        <v>1</v>
      </c>
    </row>
    <row r="88" spans="1:2" x14ac:dyDescent="0.35">
      <c r="A88" s="30" t="s">
        <v>165</v>
      </c>
      <c r="B88" s="1">
        <v>1</v>
      </c>
    </row>
    <row r="89" spans="1:2" x14ac:dyDescent="0.35">
      <c r="A89" s="30" t="s">
        <v>173</v>
      </c>
      <c r="B89" s="1">
        <v>1</v>
      </c>
    </row>
    <row r="90" spans="1:2" x14ac:dyDescent="0.35">
      <c r="A90" s="30" t="s">
        <v>174</v>
      </c>
      <c r="B90" s="1">
        <v>1</v>
      </c>
    </row>
    <row r="91" spans="1:2" x14ac:dyDescent="0.35">
      <c r="A91" s="30" t="s">
        <v>179</v>
      </c>
      <c r="B91" s="1">
        <v>1</v>
      </c>
    </row>
    <row r="92" spans="1:2" x14ac:dyDescent="0.35">
      <c r="A92" s="30" t="s">
        <v>181</v>
      </c>
      <c r="B92" s="1">
        <v>1</v>
      </c>
    </row>
    <row r="93" spans="1:2" x14ac:dyDescent="0.35">
      <c r="A93" s="30" t="s">
        <v>184</v>
      </c>
      <c r="B93" s="1">
        <v>1</v>
      </c>
    </row>
    <row r="94" spans="1:2" x14ac:dyDescent="0.35">
      <c r="A94" s="30" t="s">
        <v>185</v>
      </c>
      <c r="B94" s="1">
        <v>1</v>
      </c>
    </row>
    <row r="95" spans="1:2" x14ac:dyDescent="0.35">
      <c r="A95" s="30" t="s">
        <v>187</v>
      </c>
      <c r="B95" s="1">
        <v>1</v>
      </c>
    </row>
    <row r="96" spans="1:2" x14ac:dyDescent="0.35">
      <c r="A96" s="30" t="s">
        <v>190</v>
      </c>
      <c r="B96" s="1">
        <v>1</v>
      </c>
    </row>
    <row r="97" spans="1:2" x14ac:dyDescent="0.35">
      <c r="A97" s="30" t="s">
        <v>192</v>
      </c>
      <c r="B97" s="1">
        <v>1</v>
      </c>
    </row>
    <row r="98" spans="1:2" x14ac:dyDescent="0.35">
      <c r="A98" s="30" t="s">
        <v>196</v>
      </c>
      <c r="B98" s="1">
        <v>1</v>
      </c>
    </row>
    <row r="99" spans="1:2" x14ac:dyDescent="0.35">
      <c r="A99" s="30" t="s">
        <v>198</v>
      </c>
      <c r="B99" s="1">
        <v>1</v>
      </c>
    </row>
    <row r="100" spans="1:2" x14ac:dyDescent="0.35">
      <c r="A100" s="30" t="s">
        <v>200</v>
      </c>
      <c r="B100" s="1">
        <v>1</v>
      </c>
    </row>
    <row r="101" spans="1:2" x14ac:dyDescent="0.35">
      <c r="A101" s="30" t="s">
        <v>204</v>
      </c>
      <c r="B101" s="1">
        <v>1</v>
      </c>
    </row>
    <row r="102" spans="1:2" x14ac:dyDescent="0.35">
      <c r="A102" s="30" t="s">
        <v>205</v>
      </c>
      <c r="B102" s="1">
        <v>1</v>
      </c>
    </row>
    <row r="103" spans="1:2" x14ac:dyDescent="0.35">
      <c r="A103" s="30" t="s">
        <v>207</v>
      </c>
      <c r="B103" s="1">
        <v>1</v>
      </c>
    </row>
    <row r="104" spans="1:2" x14ac:dyDescent="0.35">
      <c r="A104" s="30" t="s">
        <v>211</v>
      </c>
      <c r="B104" s="1">
        <v>1</v>
      </c>
    </row>
    <row r="105" spans="1:2" x14ac:dyDescent="0.35">
      <c r="A105" s="30" t="s">
        <v>219</v>
      </c>
      <c r="B105" s="1">
        <v>1</v>
      </c>
    </row>
    <row r="106" spans="1:2" x14ac:dyDescent="0.35">
      <c r="A106" s="29" t="s">
        <v>237</v>
      </c>
      <c r="B106" s="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2E15-EB05-4CC4-82C7-46600A0EDC91}">
  <dimension ref="A1:BC108"/>
  <sheetViews>
    <sheetView topLeftCell="A2" zoomScale="90" zoomScaleNormal="90" workbookViewId="0">
      <selection sqref="A1:R101"/>
    </sheetView>
  </sheetViews>
  <sheetFormatPr defaultRowHeight="14.5" x14ac:dyDescent="0.35"/>
  <cols>
    <col min="1" max="1" width="13.453125" bestFit="1" customWidth="1"/>
    <col min="2" max="2" width="16.6328125" bestFit="1" customWidth="1"/>
    <col min="3" max="3" width="9" bestFit="1" customWidth="1"/>
    <col min="4" max="4" width="14.26953125" bestFit="1" customWidth="1"/>
    <col min="5" max="5" width="9.1796875" bestFit="1" customWidth="1"/>
    <col min="6" max="6" width="6.08984375" bestFit="1" customWidth="1"/>
    <col min="7" max="7" width="11.36328125" bestFit="1" customWidth="1"/>
    <col min="8" max="8" width="14" bestFit="1" customWidth="1"/>
    <col min="9" max="9" width="13.7265625" bestFit="1" customWidth="1"/>
    <col min="10" max="10" width="8.81640625" bestFit="1" customWidth="1"/>
    <col min="11" max="11" width="8.26953125" bestFit="1" customWidth="1"/>
    <col min="12" max="12" width="13.36328125" bestFit="1" customWidth="1"/>
    <col min="13" max="13" width="12.81640625" bestFit="1" customWidth="1"/>
    <col min="14" max="14" width="17.26953125" bestFit="1" customWidth="1"/>
    <col min="15" max="15" width="20" bestFit="1" customWidth="1"/>
    <col min="16" max="16" width="17.26953125" bestFit="1" customWidth="1"/>
    <col min="17" max="17" width="9.81640625" bestFit="1" customWidth="1"/>
    <col min="18" max="18" width="21.36328125" bestFit="1" customWidth="1"/>
    <col min="20" max="55" width="18.7265625" style="3" customWidth="1"/>
  </cols>
  <sheetData>
    <row r="1" spans="1:55" ht="18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s="7"/>
      <c r="U1" s="6" t="s">
        <v>221</v>
      </c>
      <c r="V1" s="5"/>
      <c r="W1" s="12" t="s">
        <v>222</v>
      </c>
      <c r="X1" s="8"/>
      <c r="Y1" s="11" t="s">
        <v>223</v>
      </c>
      <c r="Z1" s="9"/>
      <c r="AA1" s="14" t="s">
        <v>224</v>
      </c>
      <c r="AB1" s="13"/>
      <c r="AC1" s="15"/>
      <c r="AD1" s="16" t="s">
        <v>225</v>
      </c>
      <c r="AE1" s="15"/>
      <c r="AF1" s="17"/>
      <c r="AG1" s="18" t="s">
        <v>226</v>
      </c>
      <c r="AH1" s="17"/>
      <c r="AI1" s="19"/>
      <c r="AJ1" s="10" t="s">
        <v>227</v>
      </c>
      <c r="AK1" s="20"/>
      <c r="AL1" s="21"/>
      <c r="AM1" s="12" t="s">
        <v>228</v>
      </c>
      <c r="AN1" s="8"/>
      <c r="AO1" s="22"/>
      <c r="AP1" s="23" t="s">
        <v>229</v>
      </c>
      <c r="AQ1" s="22"/>
      <c r="AR1" s="24"/>
      <c r="AS1" s="25" t="s">
        <v>230</v>
      </c>
      <c r="AT1" s="24"/>
      <c r="AU1" s="26"/>
      <c r="AV1" s="26"/>
      <c r="AW1" s="27" t="s">
        <v>231</v>
      </c>
      <c r="AX1" s="26"/>
      <c r="AY1" s="26"/>
      <c r="AZ1" s="27" t="s">
        <v>232</v>
      </c>
      <c r="BA1" s="17"/>
      <c r="BB1" s="17"/>
      <c r="BC1" s="17"/>
    </row>
    <row r="2" spans="1:55" x14ac:dyDescent="0.3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>
        <v>59</v>
      </c>
      <c r="G2" s="1" t="s">
        <v>23</v>
      </c>
      <c r="H2">
        <v>1410000</v>
      </c>
      <c r="I2">
        <v>10.88</v>
      </c>
      <c r="J2">
        <v>36284</v>
      </c>
      <c r="K2">
        <v>23000</v>
      </c>
      <c r="L2">
        <v>519</v>
      </c>
      <c r="M2" s="1" t="s">
        <v>24</v>
      </c>
      <c r="N2" s="1" t="s">
        <v>25</v>
      </c>
      <c r="O2">
        <v>102000</v>
      </c>
      <c r="P2" s="2">
        <v>45911</v>
      </c>
      <c r="Q2">
        <v>917000</v>
      </c>
      <c r="R2" s="1" t="s">
        <v>26</v>
      </c>
      <c r="T2" s="5" t="str">
        <f>IF(AND(Banking_Data_100_Records[[#This Row],[Credit Score]]&gt;750,Banking_Data_100_Records[[#This Row],[Salary]]&gt;60000),"Eligible","Not Eligible")</f>
        <v>Not Eligible</v>
      </c>
      <c r="U2" s="5" t="str">
        <f>IF(Banking_Data_100_Records[[#This Row],[Balance]]&gt;500000,"High Balance","Normal Balance")</f>
        <v>High Balance</v>
      </c>
      <c r="V2" s="5" t="str">
        <f>IF(Banking_Data_100_Records[[#This Row],[Loan Amount]]&gt;1000000,"High Value Customer","Regular Customer")</f>
        <v>High Value Customer</v>
      </c>
      <c r="W2" s="8" t="str" cm="1">
        <f t="array" ref="W2:W101">IF(Banking_Data_100_Records[Credit Score]&gt;800,"Excellent",IF(Banking_Data_100_Records[Credit Score]&gt;700,"Good",IF(Banking_Data_100_Records[Credit Score]&gt;600,"Average",IF(Banking_Data_100_Records[Credit Score]&lt;600,"Poor"))))</f>
        <v>Poor</v>
      </c>
      <c r="X2" s="8" t="str" cm="1">
        <f t="array" ref="X2:X101">IF(Banking_Data_100_Records[Salary]&gt;100000,"Platinum",IF(Banking_Data_100_Records[Salary]&gt;70000,"Gold",IF(Banking_Data_100_Records[Salary]&gt;40000,"Silver",IF(Banking_Data_100_Records[Salary]&lt;40000,"Bronze"))))</f>
        <v>Bronze</v>
      </c>
      <c r="Y2" s="9" t="str">
        <f>IF(AND(Banking_Data_100_Records[[#This Row],[Loan Status]]="Approved",Banking_Data_100_Records[[#This Row],[Credit Score]]&gt;=700)," Eligible","Not")</f>
        <v>Not</v>
      </c>
      <c r="Z2" s="9" t="str">
        <f>IF(AND(Banking_Data_100_Records[[#This Row],[Salary]]&gt;=80000,Banking_Data_100_Records[[#This Row],[Balance]]&gt;=300000),"Yes","No")</f>
        <v>No</v>
      </c>
      <c r="AA2" s="13" t="str">
        <f>IF(OR(Banking_Data_100_Records[[#This Row],[Salary]]&gt;=80000,Banking_Data_100_Records[[#This Row],[Balance]]&gt;=500000),"Special offer","Not")</f>
        <v>Special offer</v>
      </c>
      <c r="AB2" s="13" t="str">
        <f>IF(OR(Banking_Data_100_Records[[#This Row],[Loan Amount]]&gt;1500000,Banking_Data_100_Records[[#This Row],[Credit Score]]&gt;800),"Priority customer","Not")</f>
        <v>Not</v>
      </c>
      <c r="AC2" s="15">
        <f>SUMIF(Banking_Data_100_Records[Loan Type],"Home",Banking_Data_100_Records[Loan Amount])</f>
        <v>21775000</v>
      </c>
      <c r="AD2" s="15">
        <f>SUMIF(Banking_Data_100_Records[Transaction Type],"Deposit",Banking_Data_100_Records[Transaction Amount])</f>
        <v>2966500</v>
      </c>
      <c r="AE2" s="15">
        <f>SUMIF(Banking_Data_100_Records[Account Type],"Savings",Banking_Data_100_Records[Balance])</f>
        <v>24083000</v>
      </c>
      <c r="AF2" s="17">
        <f>SUMIFS(Banking_Data_100_Records[Loan Amount],Banking_Data_100_Records[Branch],"Pune",Banking_Data_100_Records[Loan Status],"Approved")</f>
        <v>5340000</v>
      </c>
      <c r="AG2" s="17">
        <f>SUMIFS(Banking_Data_100_Records[Transaction Amount],Banking_Data_100_Records[Transaction Type],"Deposit",Banking_Data_100_Records[Branch],"Mumbai")</f>
        <v>290500</v>
      </c>
      <c r="AH2" s="17">
        <f>SUMIFS(Banking_Data_100_Records[Salary],Banking_Data_100_Records[Account Type],"Savings",Banking_Data_100_Records[Branch],"Nashik")</f>
        <v>836000</v>
      </c>
      <c r="AI2" s="20">
        <f>COUNTIF(Banking_Data_100_Records[Loan Status],"Approved")</f>
        <v>34</v>
      </c>
      <c r="AJ2" s="20">
        <f>COUNTIF(Banking_Data_100_Records[Loan Type],"Home")</f>
        <v>22</v>
      </c>
      <c r="AK2" s="20">
        <f>COUNTIF(Banking_Data_100_Records[Transaction Type],"Deposit")</f>
        <v>36</v>
      </c>
      <c r="AL2" s="8">
        <f>COUNTIFS(Banking_Data_100_Records[Loan Status],"Approved",Banking_Data_100_Records[Loan Type],"Home")</f>
        <v>6</v>
      </c>
      <c r="AM2" s="8">
        <f>COUNTIFS(Banking_Data_100_Records[Branch],"Mumbai",Banking_Data_100_Records[Account Type],"Savings")</f>
        <v>8</v>
      </c>
      <c r="AN2" s="8">
        <f>COUNTIFS(Banking_Data_100_Records[Credit Score],"&gt;750",Banking_Data_100_Records[Loan Status],"Approved")</f>
        <v>23</v>
      </c>
      <c r="AO2" s="22">
        <f>AVERAGEIF(Banking_Data_100_Records[Account Type],"Savings",Banking_Data_100_Records[Salary])</f>
        <v>79734.693877551021</v>
      </c>
      <c r="AP2" s="22">
        <f>AVERAGEIF(Banking_Data_100_Records[Loan Type],"Car",Banking_Data_100_Records[Loan Amount])</f>
        <v>1124354.8387096773</v>
      </c>
      <c r="AQ2" s="22">
        <f>AVERAGEIF(Banking_Data_100_Records[Branch],"Pune",Banking_Data_100_Records[Balance])</f>
        <v>558666.66666666663</v>
      </c>
      <c r="AR2" s="24">
        <f>AVERAGEIFS(Banking_Data_100_Records[Loan Amount],Banking_Data_100_Records[Loan Status],"Approved",Banking_Data_100_Records[Branch],"Nashik")</f>
        <v>1317916.6666666667</v>
      </c>
      <c r="AS2" s="24">
        <f>AVERAGEIFS(Banking_Data_100_Records[Salary],Banking_Data_100_Records[Account Type],"Current",Banking_Data_100_Records[Branch],"Mumbai")</f>
        <v>55500</v>
      </c>
      <c r="AT2" s="24">
        <f>AVERAGEIFS(Banking_Data_100_Records[Transaction Amount],Banking_Data_100_Records[Transaction Type],"Deposit",Banking_Data_100_Records[Loan Status],"Approved")</f>
        <v>87818.181818181823</v>
      </c>
      <c r="AU2" s="26" t="str">
        <f>VLOOKUP(Banking_Data_100_Records[[#This Row],[Customer ID]],Banking_Data_100_Records[[#All],[Customer ID]:[Customer Name]],2,FALSE)</f>
        <v>PriyaGupta</v>
      </c>
      <c r="AV2" s="26">
        <f>VLOOKUP(A8,Banking_Data_100_Records[#All],8,FALSE)</f>
        <v>1820000</v>
      </c>
      <c r="AW2" s="26">
        <f>VLOOKUP(A10,Banking_Data_100_Records[],17,FALSE)</f>
        <v>5000</v>
      </c>
      <c r="AX2" s="26">
        <f>VLOOKUP(A8,Banking_Data_100_Records[#All],8,FALSE)</f>
        <v>1820000</v>
      </c>
      <c r="AY2" s="26" t="str">
        <f>VLOOKUP(A11,Banking_Data_100_Records[],18,FALSE)</f>
        <v>Sneha Joshi</v>
      </c>
      <c r="AZ2" s="17">
        <f>_xlfn.XLOOKUP(A3,Banking_Data_100_Records[Customer ID],Banking_Data_100_Records[Credit Score],"Not Found")</f>
        <v>577</v>
      </c>
      <c r="BA2" s="17">
        <f>_xlfn.XLOOKUP(A6,Banking_Data_100_Records[Customer ID],Banking_Data_100_Records[Salary])</f>
        <v>100000</v>
      </c>
      <c r="BB2" s="17" t="str">
        <f>_xlfn.XLOOKUP(A6,Banking_Data_100_Records[Customer ID],Banking_Data_100_Records[Loan Status])</f>
        <v>Pending</v>
      </c>
      <c r="BC2" s="17">
        <f>LOOKUP(A21,Banking_Data_100_Records[Customer ID],Banking_Data_100_Records[Transaction Amount])</f>
        <v>9000</v>
      </c>
    </row>
    <row r="3" spans="1:55" x14ac:dyDescent="0.35">
      <c r="A3" s="1" t="s">
        <v>27</v>
      </c>
      <c r="B3" s="1" t="s">
        <v>28</v>
      </c>
      <c r="C3" s="1" t="s">
        <v>20</v>
      </c>
      <c r="D3" s="1" t="s">
        <v>29</v>
      </c>
      <c r="E3" s="1" t="s">
        <v>22</v>
      </c>
      <c r="F3">
        <v>32</v>
      </c>
      <c r="G3" s="1" t="s">
        <v>23</v>
      </c>
      <c r="H3">
        <v>970000</v>
      </c>
      <c r="I3">
        <v>9.9600000000000009</v>
      </c>
      <c r="J3">
        <v>24217.67</v>
      </c>
      <c r="K3">
        <v>43000</v>
      </c>
      <c r="L3">
        <v>577</v>
      </c>
      <c r="M3" s="1" t="s">
        <v>30</v>
      </c>
      <c r="N3" s="1" t="s">
        <v>31</v>
      </c>
      <c r="O3">
        <v>47500</v>
      </c>
      <c r="P3" s="2">
        <v>46003</v>
      </c>
      <c r="Q3">
        <v>730000</v>
      </c>
      <c r="R3" s="1" t="s">
        <v>32</v>
      </c>
      <c r="T3" s="5" t="str">
        <f>IF(AND(Banking_Data_100_Records[[#This Row],[Credit Score]]&gt;750,Banking_Data_100_Records[[#This Row],[Salary]]&gt;60000),"Eligible","Not Eligible")</f>
        <v>Not Eligible</v>
      </c>
      <c r="U3" s="5" t="str">
        <f>IF(Banking_Data_100_Records[[#This Row],[Balance]]&gt;500000,"High Balance","Normal Balance")</f>
        <v>High Balance</v>
      </c>
      <c r="V3" s="5" t="str">
        <f>IF(Banking_Data_100_Records[[#This Row],[Loan Amount]]&gt;1000000,"High Value Customer","Regular Customer")</f>
        <v>Regular Customer</v>
      </c>
      <c r="W3" s="8" t="str">
        <v>Poor</v>
      </c>
      <c r="X3" s="8" t="str">
        <v>Silver</v>
      </c>
      <c r="Y3" s="9" t="str">
        <f>IF(AND(Banking_Data_100_Records[[#This Row],[Loan Status]]="Approved",Banking_Data_100_Records[[#This Row],[Credit Score]]&gt;=700)," Eligible","Not")</f>
        <v>Not</v>
      </c>
      <c r="Z3" s="9" t="str">
        <f>IF(AND(Banking_Data_100_Records[[#This Row],[Salary]]&gt;=80000,Banking_Data_100_Records[[#This Row],[Balance]]&gt;=300000),"Yes","No")</f>
        <v>No</v>
      </c>
      <c r="AA3" s="13" t="str">
        <f>IF(OR(Banking_Data_100_Records[[#This Row],[Salary]]&gt;=80000,Banking_Data_100_Records[[#This Row],[Balance]]&gt;=500000),"Special offer","Not")</f>
        <v>Special offer</v>
      </c>
      <c r="AB3" s="13" t="str">
        <f>IF(OR(Banking_Data_100_Records[[#This Row],[Loan Amount]]&gt;1500000,Banking_Data_100_Records[[#This Row],[Credit Score]]&gt;800),"Priority customer","Not")</f>
        <v>Not</v>
      </c>
      <c r="AC3" s="15">
        <f>SUMIF(Banking_Data_100_Records[Loan Type],"Home",Banking_Data_100_Records[Loan Amount])</f>
        <v>21775000</v>
      </c>
      <c r="AD3" s="15"/>
      <c r="AE3" s="15"/>
      <c r="AF3" s="17"/>
      <c r="AG3" s="17"/>
      <c r="AH3" s="17"/>
      <c r="AI3" s="20"/>
      <c r="AJ3" s="20"/>
      <c r="AK3" s="20"/>
      <c r="AL3" s="8"/>
      <c r="AM3" s="8"/>
      <c r="AN3" s="8"/>
      <c r="AO3" s="22"/>
      <c r="AP3" s="22"/>
      <c r="AQ3" s="22"/>
      <c r="AR3" s="24"/>
      <c r="AS3" s="24"/>
      <c r="AT3" s="24"/>
      <c r="AU3" s="26"/>
      <c r="AV3" s="26"/>
      <c r="AW3" s="26"/>
      <c r="AX3" s="26"/>
      <c r="AY3" s="26"/>
      <c r="AZ3" s="17"/>
      <c r="BA3" s="17"/>
      <c r="BB3" s="17"/>
      <c r="BC3" s="17"/>
    </row>
    <row r="4" spans="1:55" x14ac:dyDescent="0.35">
      <c r="A4" s="1" t="s">
        <v>33</v>
      </c>
      <c r="B4" s="1" t="s">
        <v>34</v>
      </c>
      <c r="C4" s="1" t="s">
        <v>35</v>
      </c>
      <c r="D4" s="1" t="s">
        <v>21</v>
      </c>
      <c r="E4" s="1" t="s">
        <v>22</v>
      </c>
      <c r="F4">
        <v>49</v>
      </c>
      <c r="G4" s="1" t="s">
        <v>36</v>
      </c>
      <c r="H4">
        <v>975000</v>
      </c>
      <c r="I4">
        <v>13.4</v>
      </c>
      <c r="J4">
        <v>27137.5</v>
      </c>
      <c r="K4">
        <v>82000</v>
      </c>
      <c r="L4">
        <v>735</v>
      </c>
      <c r="M4" s="1" t="s">
        <v>37</v>
      </c>
      <c r="N4" s="1" t="s">
        <v>25</v>
      </c>
      <c r="O4">
        <v>6500</v>
      </c>
      <c r="P4" s="2">
        <v>45965</v>
      </c>
      <c r="Q4">
        <v>295000</v>
      </c>
      <c r="R4" s="1" t="s">
        <v>26</v>
      </c>
      <c r="T4" s="5" t="str">
        <f>IF(AND(Banking_Data_100_Records[[#This Row],[Credit Score]]&gt;750,Banking_Data_100_Records[[#This Row],[Salary]]&gt;60000),"Eligible","Not Eligible")</f>
        <v>Not Eligible</v>
      </c>
      <c r="U4" s="5" t="str">
        <f>IF(Banking_Data_100_Records[[#This Row],[Balance]]&gt;500000,"High Balance","Normal Balance")</f>
        <v>Normal Balance</v>
      </c>
      <c r="V4" s="5" t="str">
        <f>IF(Banking_Data_100_Records[[#This Row],[Loan Amount]]&gt;1000000,"High Value Customer","Regular Customer")</f>
        <v>Regular Customer</v>
      </c>
      <c r="W4" s="8" t="str">
        <v>Good</v>
      </c>
      <c r="X4" s="8" t="str">
        <v>Gold</v>
      </c>
      <c r="Y4" s="9" t="str">
        <f>IF(AND(Banking_Data_100_Records[[#This Row],[Loan Status]]="Approved",Banking_Data_100_Records[[#This Row],[Credit Score]]&gt;=700)," Eligible","Not")</f>
        <v xml:space="preserve"> Eligible</v>
      </c>
      <c r="Z4" s="9" t="str">
        <f>IF(AND(Banking_Data_100_Records[[#This Row],[Salary]]&gt;=80000,Banking_Data_100_Records[[#This Row],[Balance]]&gt;=300000),"Yes","No")</f>
        <v>No</v>
      </c>
      <c r="AA4" s="13" t="str">
        <f>IF(OR(Banking_Data_100_Records[[#This Row],[Salary]]&gt;=80000,Banking_Data_100_Records[[#This Row],[Balance]]&gt;=500000),"Special offer","Not")</f>
        <v>Special offer</v>
      </c>
      <c r="AB4" s="13" t="str">
        <f>IF(OR(Banking_Data_100_Records[[#This Row],[Loan Amount]]&gt;1500000,Banking_Data_100_Records[[#This Row],[Credit Score]]&gt;800),"Priority customer","Not")</f>
        <v>Not</v>
      </c>
      <c r="AC4" s="15"/>
      <c r="AD4" s="15"/>
      <c r="AE4" s="15"/>
      <c r="AF4" s="17"/>
      <c r="AG4" s="17"/>
      <c r="AH4" s="17"/>
      <c r="AI4" s="20"/>
      <c r="AJ4" s="20"/>
      <c r="AK4" s="20"/>
      <c r="AL4" s="8"/>
      <c r="AM4" s="8"/>
      <c r="AN4" s="8"/>
      <c r="AO4" s="22"/>
      <c r="AP4" s="22"/>
      <c r="AQ4" s="22"/>
      <c r="AR4" s="24"/>
      <c r="AS4" s="24"/>
      <c r="AT4" s="24"/>
      <c r="AU4" s="26"/>
      <c r="AV4" s="26"/>
      <c r="AW4" s="26"/>
      <c r="AX4" s="26"/>
      <c r="AY4" s="26"/>
      <c r="AZ4" s="17"/>
      <c r="BA4" s="17"/>
      <c r="BB4" s="17"/>
      <c r="BC4" s="17"/>
    </row>
    <row r="5" spans="1:55" x14ac:dyDescent="0.35">
      <c r="A5" s="1" t="s">
        <v>38</v>
      </c>
      <c r="B5" s="1" t="s">
        <v>39</v>
      </c>
      <c r="C5" s="1" t="s">
        <v>40</v>
      </c>
      <c r="D5" s="1" t="s">
        <v>21</v>
      </c>
      <c r="E5" s="1" t="s">
        <v>22</v>
      </c>
      <c r="F5">
        <v>28</v>
      </c>
      <c r="G5" s="1" t="s">
        <v>41</v>
      </c>
      <c r="H5">
        <v>340000</v>
      </c>
      <c r="I5">
        <v>12.64</v>
      </c>
      <c r="J5">
        <v>9248</v>
      </c>
      <c r="K5">
        <v>142000</v>
      </c>
      <c r="L5">
        <v>792</v>
      </c>
      <c r="M5" s="1" t="s">
        <v>37</v>
      </c>
      <c r="N5" s="1" t="s">
        <v>31</v>
      </c>
      <c r="O5">
        <v>39500</v>
      </c>
      <c r="P5" s="2">
        <v>45811</v>
      </c>
      <c r="Q5">
        <v>790000</v>
      </c>
      <c r="R5" s="1" t="s">
        <v>26</v>
      </c>
      <c r="T5" s="5" t="str">
        <f>IF(AND(Banking_Data_100_Records[[#This Row],[Credit Score]]&gt;750,Banking_Data_100_Records[[#This Row],[Salary]]&gt;60000),"Eligible","Not Eligible")</f>
        <v>Eligible</v>
      </c>
      <c r="U5" s="5" t="str">
        <f>IF(Banking_Data_100_Records[[#This Row],[Balance]]&gt;500000,"High Balance","Normal Balance")</f>
        <v>High Balance</v>
      </c>
      <c r="V5" s="5" t="str">
        <f>IF(Banking_Data_100_Records[[#This Row],[Loan Amount]]&gt;1000000,"High Value Customer","Regular Customer")</f>
        <v>Regular Customer</v>
      </c>
      <c r="W5" s="8" t="str">
        <v>Good</v>
      </c>
      <c r="X5" s="8" t="str">
        <v>Platinum</v>
      </c>
      <c r="Y5" s="9" t="str">
        <f>IF(AND(Banking_Data_100_Records[[#This Row],[Loan Status]]="Approved",Banking_Data_100_Records[[#This Row],[Credit Score]]&gt;=700)," Eligible","Not")</f>
        <v xml:space="preserve"> Eligible</v>
      </c>
      <c r="Z5" s="9" t="str">
        <f>IF(AND(Banking_Data_100_Records[[#This Row],[Salary]]&gt;=80000,Banking_Data_100_Records[[#This Row],[Balance]]&gt;=300000),"Yes","No")</f>
        <v>Yes</v>
      </c>
      <c r="AA5" s="13" t="str">
        <f>IF(OR(Banking_Data_100_Records[[#This Row],[Salary]]&gt;=80000,Banking_Data_100_Records[[#This Row],[Balance]]&gt;=500000),"Special offer","Not")</f>
        <v>Special offer</v>
      </c>
      <c r="AB5" s="13" t="str">
        <f>IF(OR(Banking_Data_100_Records[[#This Row],[Loan Amount]]&gt;1500000,Banking_Data_100_Records[[#This Row],[Credit Score]]&gt;800),"Priority customer","Not")</f>
        <v>Not</v>
      </c>
      <c r="AC5" s="15"/>
      <c r="AD5" s="15"/>
      <c r="AE5" s="15"/>
      <c r="AF5" s="17"/>
      <c r="AG5" s="17"/>
      <c r="AH5" s="17"/>
      <c r="AI5" s="20"/>
      <c r="AJ5" s="20"/>
      <c r="AK5" s="20"/>
      <c r="AL5" s="8"/>
      <c r="AM5" s="8"/>
      <c r="AN5" s="8"/>
      <c r="AO5" s="22"/>
      <c r="AP5" s="22"/>
      <c r="AQ5" s="22"/>
      <c r="AR5" s="24"/>
      <c r="AS5" s="24"/>
      <c r="AT5" s="24"/>
      <c r="AU5" s="26"/>
      <c r="AV5" s="26"/>
      <c r="AW5" s="26"/>
      <c r="AX5" s="26"/>
      <c r="AY5" s="26"/>
      <c r="AZ5" s="17"/>
      <c r="BA5" s="17"/>
      <c r="BB5" s="17"/>
      <c r="BC5" s="17"/>
    </row>
    <row r="6" spans="1:55" x14ac:dyDescent="0.35">
      <c r="A6" s="1" t="s">
        <v>42</v>
      </c>
      <c r="B6" s="1" t="s">
        <v>43</v>
      </c>
      <c r="C6" s="1" t="s">
        <v>35</v>
      </c>
      <c r="D6" s="1" t="s">
        <v>21</v>
      </c>
      <c r="E6" s="1" t="s">
        <v>22</v>
      </c>
      <c r="F6">
        <v>24</v>
      </c>
      <c r="G6" s="1" t="s">
        <v>36</v>
      </c>
      <c r="H6">
        <v>1470000</v>
      </c>
      <c r="I6">
        <v>10.48</v>
      </c>
      <c r="J6">
        <v>37338</v>
      </c>
      <c r="K6">
        <v>100000</v>
      </c>
      <c r="L6">
        <v>593</v>
      </c>
      <c r="M6" s="1" t="s">
        <v>24</v>
      </c>
      <c r="N6" s="1" t="s">
        <v>44</v>
      </c>
      <c r="O6">
        <v>106500</v>
      </c>
      <c r="P6" s="2">
        <v>45806</v>
      </c>
      <c r="Q6">
        <v>255000</v>
      </c>
      <c r="R6" s="1" t="s">
        <v>45</v>
      </c>
      <c r="T6" s="5" t="str">
        <f>IF(AND(Banking_Data_100_Records[[#This Row],[Credit Score]]&gt;750,Banking_Data_100_Records[[#This Row],[Salary]]&gt;60000),"Eligible","Not Eligible")</f>
        <v>Not Eligible</v>
      </c>
      <c r="U6" s="5" t="str">
        <f>IF(Banking_Data_100_Records[[#This Row],[Balance]]&gt;500000,"High Balance","Normal Balance")</f>
        <v>Normal Balance</v>
      </c>
      <c r="V6" s="5" t="str">
        <f>IF(Banking_Data_100_Records[[#This Row],[Loan Amount]]&gt;1000000,"High Value Customer","Regular Customer")</f>
        <v>High Value Customer</v>
      </c>
      <c r="W6" s="8" t="str">
        <v>Poor</v>
      </c>
      <c r="X6" s="8" t="str">
        <v>Gold</v>
      </c>
      <c r="Y6" s="9" t="str">
        <f>IF(AND(Banking_Data_100_Records[[#This Row],[Loan Status]]="Approved",Banking_Data_100_Records[[#This Row],[Credit Score]]&gt;=700)," Eligible","Not")</f>
        <v>Not</v>
      </c>
      <c r="Z6" s="9" t="str">
        <f>IF(AND(Banking_Data_100_Records[[#This Row],[Salary]]&gt;=80000,Banking_Data_100_Records[[#This Row],[Balance]]&gt;=300000),"Yes","No")</f>
        <v>No</v>
      </c>
      <c r="AA6" s="13" t="str">
        <f>IF(OR(Banking_Data_100_Records[[#This Row],[Salary]]&gt;=80000,Banking_Data_100_Records[[#This Row],[Balance]]&gt;=500000),"Special offer","Not")</f>
        <v>Special offer</v>
      </c>
      <c r="AB6" s="13" t="str">
        <f>IF(OR(Banking_Data_100_Records[[#This Row],[Loan Amount]]&gt;1500000,Banking_Data_100_Records[[#This Row],[Credit Score]]&gt;800),"Priority customer","Not")</f>
        <v>Not</v>
      </c>
    </row>
    <row r="7" spans="1:55" x14ac:dyDescent="0.35">
      <c r="A7" s="1" t="s">
        <v>46</v>
      </c>
      <c r="B7" s="1" t="s">
        <v>47</v>
      </c>
      <c r="C7" s="1" t="s">
        <v>48</v>
      </c>
      <c r="D7" s="1" t="s">
        <v>29</v>
      </c>
      <c r="E7" s="1" t="s">
        <v>22</v>
      </c>
      <c r="F7">
        <v>54</v>
      </c>
      <c r="G7" s="1" t="s">
        <v>41</v>
      </c>
      <c r="H7">
        <v>1590000</v>
      </c>
      <c r="I7">
        <v>10.1</v>
      </c>
      <c r="J7">
        <v>39882.5</v>
      </c>
      <c r="K7">
        <v>96000</v>
      </c>
      <c r="L7">
        <v>757</v>
      </c>
      <c r="M7" s="1" t="s">
        <v>37</v>
      </c>
      <c r="N7" s="1" t="s">
        <v>31</v>
      </c>
      <c r="O7">
        <v>93000</v>
      </c>
      <c r="P7" s="2">
        <v>45662</v>
      </c>
      <c r="Q7">
        <v>498000</v>
      </c>
      <c r="R7" s="1" t="s">
        <v>26</v>
      </c>
      <c r="T7" s="5" t="str">
        <f>IF(AND(Banking_Data_100_Records[[#This Row],[Credit Score]]&gt;750,Banking_Data_100_Records[[#This Row],[Salary]]&gt;60000),"Eligible","Not Eligible")</f>
        <v>Eligible</v>
      </c>
      <c r="U7" s="5" t="str">
        <f>IF(Banking_Data_100_Records[[#This Row],[Balance]]&gt;500000,"High Balance","Normal Balance")</f>
        <v>Normal Balance</v>
      </c>
      <c r="V7" s="5" t="str">
        <f>IF(Banking_Data_100_Records[[#This Row],[Loan Amount]]&gt;1000000,"High Value Customer","Regular Customer")</f>
        <v>High Value Customer</v>
      </c>
      <c r="W7" s="8" t="str">
        <v>Good</v>
      </c>
      <c r="X7" s="8" t="str">
        <v>Gold</v>
      </c>
      <c r="Y7" s="9" t="str">
        <f>IF(AND(Banking_Data_100_Records[[#This Row],[Loan Status]]="Approved",Banking_Data_100_Records[[#This Row],[Credit Score]]&gt;=700)," Eligible","Not")</f>
        <v xml:space="preserve"> Eligible</v>
      </c>
      <c r="Z7" s="9" t="str">
        <f>IF(AND(Banking_Data_100_Records[[#This Row],[Salary]]&gt;=80000,Banking_Data_100_Records[[#This Row],[Balance]]&gt;=300000),"Yes","No")</f>
        <v>Yes</v>
      </c>
      <c r="AA7" s="13" t="str">
        <f>IF(OR(Banking_Data_100_Records[[#This Row],[Salary]]&gt;=80000,Banking_Data_100_Records[[#This Row],[Balance]]&gt;=500000),"Special offer","Not")</f>
        <v>Special offer</v>
      </c>
      <c r="AB7" s="13" t="str">
        <f>IF(OR(Banking_Data_100_Records[[#This Row],[Loan Amount]]&gt;1500000,Banking_Data_100_Records[[#This Row],[Credit Score]]&gt;800),"Priority customer","Not")</f>
        <v>Priority customer</v>
      </c>
    </row>
    <row r="8" spans="1:55" x14ac:dyDescent="0.35">
      <c r="A8" s="1" t="s">
        <v>49</v>
      </c>
      <c r="B8" s="1" t="s">
        <v>50</v>
      </c>
      <c r="C8" s="1" t="s">
        <v>40</v>
      </c>
      <c r="D8" s="1" t="s">
        <v>29</v>
      </c>
      <c r="E8" s="1" t="s">
        <v>22</v>
      </c>
      <c r="F8">
        <v>59</v>
      </c>
      <c r="G8" s="1" t="s">
        <v>23</v>
      </c>
      <c r="H8">
        <v>1820000</v>
      </c>
      <c r="I8">
        <v>11.05</v>
      </c>
      <c r="J8">
        <v>47092.5</v>
      </c>
      <c r="K8">
        <v>92000</v>
      </c>
      <c r="L8">
        <v>519</v>
      </c>
      <c r="M8" s="1" t="s">
        <v>24</v>
      </c>
      <c r="N8" s="1" t="s">
        <v>25</v>
      </c>
      <c r="O8">
        <v>21500</v>
      </c>
      <c r="P8" s="2">
        <v>45991</v>
      </c>
      <c r="Q8">
        <v>7000</v>
      </c>
      <c r="R8" s="1" t="s">
        <v>51</v>
      </c>
      <c r="T8" s="5" t="str">
        <f>IF(AND(Banking_Data_100_Records[[#This Row],[Credit Score]]&gt;750,Banking_Data_100_Records[[#This Row],[Salary]]&gt;60000),"Eligible","Not Eligible")</f>
        <v>Not Eligible</v>
      </c>
      <c r="U8" s="5" t="str">
        <f>IF(Banking_Data_100_Records[[#This Row],[Balance]]&gt;500000,"High Balance","Normal Balance")</f>
        <v>Normal Balance</v>
      </c>
      <c r="V8" s="5" t="str">
        <f>IF(Banking_Data_100_Records[[#This Row],[Loan Amount]]&gt;1000000,"High Value Customer","Regular Customer")</f>
        <v>High Value Customer</v>
      </c>
      <c r="W8" s="8" t="str">
        <v>Poor</v>
      </c>
      <c r="X8" s="8" t="str">
        <v>Gold</v>
      </c>
      <c r="Y8" s="9" t="str">
        <f>IF(AND(Banking_Data_100_Records[[#This Row],[Loan Status]]="Approved",Banking_Data_100_Records[[#This Row],[Credit Score]]&gt;=700)," Eligible","Not")</f>
        <v>Not</v>
      </c>
      <c r="Z8" s="9" t="str">
        <f>IF(AND(Banking_Data_100_Records[[#This Row],[Salary]]&gt;=80000,Banking_Data_100_Records[[#This Row],[Balance]]&gt;=300000),"Yes","No")</f>
        <v>No</v>
      </c>
      <c r="AA8" s="13" t="str">
        <f>IF(OR(Banking_Data_100_Records[[#This Row],[Salary]]&gt;=80000,Banking_Data_100_Records[[#This Row],[Balance]]&gt;=500000),"Special offer","Not")</f>
        <v>Special offer</v>
      </c>
      <c r="AB8" s="13" t="str">
        <f>IF(OR(Banking_Data_100_Records[[#This Row],[Loan Amount]]&gt;1500000,Banking_Data_100_Records[[#This Row],[Credit Score]]&gt;800),"Priority customer","Not")</f>
        <v>Priority customer</v>
      </c>
    </row>
    <row r="9" spans="1:55" x14ac:dyDescent="0.35">
      <c r="A9" s="1" t="s">
        <v>52</v>
      </c>
      <c r="B9" s="1" t="s">
        <v>53</v>
      </c>
      <c r="C9" s="1" t="s">
        <v>40</v>
      </c>
      <c r="D9" s="1" t="s">
        <v>29</v>
      </c>
      <c r="E9" s="1" t="s">
        <v>54</v>
      </c>
      <c r="F9">
        <v>41</v>
      </c>
      <c r="G9" s="1" t="s">
        <v>36</v>
      </c>
      <c r="H9">
        <v>150000</v>
      </c>
      <c r="I9">
        <v>8.6999999999999993</v>
      </c>
      <c r="J9">
        <v>3587.5</v>
      </c>
      <c r="K9">
        <v>123000</v>
      </c>
      <c r="L9">
        <v>367</v>
      </c>
      <c r="M9" s="1" t="s">
        <v>24</v>
      </c>
      <c r="N9" s="1" t="s">
        <v>44</v>
      </c>
      <c r="O9">
        <v>129000</v>
      </c>
      <c r="P9" s="2">
        <v>45697</v>
      </c>
      <c r="Q9">
        <v>598000</v>
      </c>
      <c r="R9" s="1" t="s">
        <v>26</v>
      </c>
      <c r="T9" s="5" t="str">
        <f>IF(AND(Banking_Data_100_Records[[#This Row],[Credit Score]]&gt;750,Banking_Data_100_Records[[#This Row],[Salary]]&gt;60000),"Eligible","Not Eligible")</f>
        <v>Not Eligible</v>
      </c>
      <c r="U9" s="5" t="str">
        <f>IF(Banking_Data_100_Records[[#This Row],[Balance]]&gt;500000,"High Balance","Normal Balance")</f>
        <v>High Balance</v>
      </c>
      <c r="V9" s="5" t="str">
        <f>IF(Banking_Data_100_Records[[#This Row],[Loan Amount]]&gt;1000000,"High Value Customer","Regular Customer")</f>
        <v>Regular Customer</v>
      </c>
      <c r="W9" s="8" t="str">
        <v>Poor</v>
      </c>
      <c r="X9" s="8" t="str">
        <v>Platinum</v>
      </c>
      <c r="Y9" s="9" t="str">
        <f>IF(AND(Banking_Data_100_Records[[#This Row],[Loan Status]]="Approved",Banking_Data_100_Records[[#This Row],[Credit Score]]&gt;=700)," Eligible","Not")</f>
        <v>Not</v>
      </c>
      <c r="Z9" s="9" t="str">
        <f>IF(AND(Banking_Data_100_Records[[#This Row],[Salary]]&gt;=80000,Banking_Data_100_Records[[#This Row],[Balance]]&gt;=300000),"Yes","No")</f>
        <v>Yes</v>
      </c>
      <c r="AA9" s="13" t="str">
        <f>IF(OR(Banking_Data_100_Records[[#This Row],[Salary]]&gt;=80000,Banking_Data_100_Records[[#This Row],[Balance]]&gt;=500000),"Special offer","Not")</f>
        <v>Special offer</v>
      </c>
      <c r="AB9" s="13" t="str">
        <f>IF(OR(Banking_Data_100_Records[[#This Row],[Loan Amount]]&gt;1500000,Banking_Data_100_Records[[#This Row],[Credit Score]]&gt;800),"Priority customer","Not")</f>
        <v>Not</v>
      </c>
    </row>
    <row r="10" spans="1:55" x14ac:dyDescent="0.35">
      <c r="A10" s="1" t="s">
        <v>55</v>
      </c>
      <c r="B10" s="1" t="s">
        <v>56</v>
      </c>
      <c r="C10" s="1" t="s">
        <v>48</v>
      </c>
      <c r="D10" s="1" t="s">
        <v>29</v>
      </c>
      <c r="E10" s="1" t="s">
        <v>54</v>
      </c>
      <c r="F10">
        <v>58</v>
      </c>
      <c r="G10" s="1" t="s">
        <v>57</v>
      </c>
      <c r="H10">
        <v>1275000</v>
      </c>
      <c r="I10">
        <v>10.55</v>
      </c>
      <c r="J10">
        <v>32459.38</v>
      </c>
      <c r="K10">
        <v>99000</v>
      </c>
      <c r="L10">
        <v>796</v>
      </c>
      <c r="M10" s="1" t="s">
        <v>37</v>
      </c>
      <c r="N10" s="1" t="s">
        <v>44</v>
      </c>
      <c r="O10">
        <v>139000</v>
      </c>
      <c r="P10" s="2">
        <v>45712</v>
      </c>
      <c r="Q10">
        <v>5000</v>
      </c>
      <c r="R10" s="1" t="s">
        <v>45</v>
      </c>
      <c r="T10" s="5" t="str">
        <f>IF(AND(Banking_Data_100_Records[[#This Row],[Credit Score]]&gt;750,Banking_Data_100_Records[[#This Row],[Salary]]&gt;60000),"Eligible","Not Eligible")</f>
        <v>Eligible</v>
      </c>
      <c r="U10" s="5" t="str">
        <f>IF(Banking_Data_100_Records[[#This Row],[Balance]]&gt;500000,"High Balance","Normal Balance")</f>
        <v>Normal Balance</v>
      </c>
      <c r="V10" s="5" t="str">
        <f>IF(Banking_Data_100_Records[[#This Row],[Loan Amount]]&gt;1000000,"High Value Customer","Regular Customer")</f>
        <v>High Value Customer</v>
      </c>
      <c r="W10" s="8" t="str">
        <v>Good</v>
      </c>
      <c r="X10" s="8" t="str">
        <v>Gold</v>
      </c>
      <c r="Y10" s="9" t="str">
        <f>IF(AND(Banking_Data_100_Records[[#This Row],[Loan Status]]="Approved",Banking_Data_100_Records[[#This Row],[Credit Score]]&gt;=700)," Eligible","Not")</f>
        <v xml:space="preserve"> Eligible</v>
      </c>
      <c r="Z10" s="9" t="str">
        <f>IF(AND(Banking_Data_100_Records[[#This Row],[Salary]]&gt;=80000,Banking_Data_100_Records[[#This Row],[Balance]]&gt;=300000),"Yes","No")</f>
        <v>No</v>
      </c>
      <c r="AA10" s="13" t="str">
        <f>IF(OR(Banking_Data_100_Records[[#This Row],[Salary]]&gt;=80000,Banking_Data_100_Records[[#This Row],[Balance]]&gt;=500000),"Special offer","Not")</f>
        <v>Special offer</v>
      </c>
      <c r="AB10" s="13" t="str">
        <f>IF(OR(Banking_Data_100_Records[[#This Row],[Loan Amount]]&gt;1500000,Banking_Data_100_Records[[#This Row],[Credit Score]]&gt;800),"Priority customer","Not")</f>
        <v>Not</v>
      </c>
    </row>
    <row r="11" spans="1:55" x14ac:dyDescent="0.35">
      <c r="A11" s="1" t="s">
        <v>58</v>
      </c>
      <c r="B11" s="1" t="s">
        <v>59</v>
      </c>
      <c r="C11" s="1" t="s">
        <v>40</v>
      </c>
      <c r="D11" s="1" t="s">
        <v>21</v>
      </c>
      <c r="E11" s="1" t="s">
        <v>22</v>
      </c>
      <c r="F11">
        <v>24</v>
      </c>
      <c r="G11" s="1" t="s">
        <v>36</v>
      </c>
      <c r="H11">
        <v>795000</v>
      </c>
      <c r="I11">
        <v>11.1</v>
      </c>
      <c r="J11">
        <v>20603.75</v>
      </c>
      <c r="K11">
        <v>121000</v>
      </c>
      <c r="L11">
        <v>610</v>
      </c>
      <c r="M11" s="1" t="s">
        <v>30</v>
      </c>
      <c r="N11" s="1" t="s">
        <v>25</v>
      </c>
      <c r="O11">
        <v>191500</v>
      </c>
      <c r="P11" s="2">
        <v>45882</v>
      </c>
      <c r="Q11">
        <v>988000</v>
      </c>
      <c r="R11" s="1" t="s">
        <v>60</v>
      </c>
      <c r="T11" s="5" t="str">
        <f>IF(AND(Banking_Data_100_Records[[#This Row],[Credit Score]]&gt;750,Banking_Data_100_Records[[#This Row],[Salary]]&gt;60000),"Eligible","Not Eligible")</f>
        <v>Not Eligible</v>
      </c>
      <c r="U11" s="5" t="str">
        <f>IF(Banking_Data_100_Records[[#This Row],[Balance]]&gt;500000,"High Balance","Normal Balance")</f>
        <v>High Balance</v>
      </c>
      <c r="V11" s="5" t="str">
        <f>IF(Banking_Data_100_Records[[#This Row],[Loan Amount]]&gt;1000000,"High Value Customer","Regular Customer")</f>
        <v>Regular Customer</v>
      </c>
      <c r="W11" s="8" t="str">
        <v>Average</v>
      </c>
      <c r="X11" s="8" t="str">
        <v>Platinum</v>
      </c>
      <c r="Y11" s="9" t="str">
        <f>IF(AND(Banking_Data_100_Records[[#This Row],[Loan Status]]="Approved",Banking_Data_100_Records[[#This Row],[Credit Score]]&gt;=700)," Eligible","Not")</f>
        <v>Not</v>
      </c>
      <c r="Z11" s="9" t="str">
        <f>IF(AND(Banking_Data_100_Records[[#This Row],[Salary]]&gt;=80000,Banking_Data_100_Records[[#This Row],[Balance]]&gt;=300000),"Yes","No")</f>
        <v>Yes</v>
      </c>
      <c r="AA11" s="13" t="str">
        <f>IF(OR(Banking_Data_100_Records[[#This Row],[Salary]]&gt;=80000,Banking_Data_100_Records[[#This Row],[Balance]]&gt;=500000),"Special offer","Not")</f>
        <v>Special offer</v>
      </c>
      <c r="AB11" s="13" t="str">
        <f>IF(OR(Banking_Data_100_Records[[#This Row],[Loan Amount]]&gt;1500000,Banking_Data_100_Records[[#This Row],[Credit Score]]&gt;800),"Priority customer","Not")</f>
        <v>Not</v>
      </c>
    </row>
    <row r="12" spans="1:55" x14ac:dyDescent="0.35">
      <c r="A12" s="1" t="s">
        <v>61</v>
      </c>
      <c r="B12" s="1" t="s">
        <v>62</v>
      </c>
      <c r="C12" s="1" t="s">
        <v>20</v>
      </c>
      <c r="D12" s="1" t="s">
        <v>29</v>
      </c>
      <c r="E12" s="1" t="s">
        <v>54</v>
      </c>
      <c r="F12">
        <v>59</v>
      </c>
      <c r="G12" s="1" t="s">
        <v>57</v>
      </c>
      <c r="H12">
        <v>1060000</v>
      </c>
      <c r="I12">
        <v>13.73</v>
      </c>
      <c r="J12">
        <v>29794.83</v>
      </c>
      <c r="K12">
        <v>128000</v>
      </c>
      <c r="L12">
        <v>688</v>
      </c>
      <c r="M12" s="1" t="s">
        <v>37</v>
      </c>
      <c r="N12" s="1" t="s">
        <v>31</v>
      </c>
      <c r="O12">
        <v>35500</v>
      </c>
      <c r="P12" s="2">
        <v>45711</v>
      </c>
      <c r="Q12">
        <v>72000</v>
      </c>
      <c r="R12" s="1" t="s">
        <v>51</v>
      </c>
      <c r="T12" s="5" t="str">
        <f>IF(AND(Banking_Data_100_Records[[#This Row],[Credit Score]]&gt;750,Banking_Data_100_Records[[#This Row],[Salary]]&gt;60000),"Eligible","Not Eligible")</f>
        <v>Not Eligible</v>
      </c>
      <c r="U12" s="5" t="str">
        <f>IF(Banking_Data_100_Records[[#This Row],[Balance]]&gt;500000,"High Balance","Normal Balance")</f>
        <v>Normal Balance</v>
      </c>
      <c r="V12" s="5" t="str">
        <f>IF(Banking_Data_100_Records[[#This Row],[Loan Amount]]&gt;1000000,"High Value Customer","Regular Customer")</f>
        <v>High Value Customer</v>
      </c>
      <c r="W12" s="8" t="str">
        <v>Average</v>
      </c>
      <c r="X12" s="8" t="str">
        <v>Platinum</v>
      </c>
      <c r="Y12" s="9" t="str">
        <f>IF(AND(Banking_Data_100_Records[[#This Row],[Loan Status]]="Approved",Banking_Data_100_Records[[#This Row],[Credit Score]]&gt;=700)," Eligible","Not")</f>
        <v>Not</v>
      </c>
      <c r="Z12" s="9" t="str">
        <f>IF(AND(Banking_Data_100_Records[[#This Row],[Salary]]&gt;=80000,Banking_Data_100_Records[[#This Row],[Balance]]&gt;=300000),"Yes","No")</f>
        <v>No</v>
      </c>
      <c r="AA12" s="13" t="str">
        <f>IF(OR(Banking_Data_100_Records[[#This Row],[Salary]]&gt;=80000,Banking_Data_100_Records[[#This Row],[Balance]]&gt;=500000),"Special offer","Not")</f>
        <v>Special offer</v>
      </c>
      <c r="AB12" s="13" t="str">
        <f>IF(OR(Banking_Data_100_Records[[#This Row],[Loan Amount]]&gt;1500000,Banking_Data_100_Records[[#This Row],[Credit Score]]&gt;800),"Priority customer","Not")</f>
        <v>Not</v>
      </c>
    </row>
    <row r="13" spans="1:55" x14ac:dyDescent="0.35">
      <c r="A13" s="1" t="s">
        <v>63</v>
      </c>
      <c r="B13" s="1" t="s">
        <v>64</v>
      </c>
      <c r="C13" s="1" t="s">
        <v>48</v>
      </c>
      <c r="D13" s="1" t="s">
        <v>29</v>
      </c>
      <c r="E13" s="1" t="s">
        <v>54</v>
      </c>
      <c r="F13">
        <v>29</v>
      </c>
      <c r="G13" s="1" t="s">
        <v>36</v>
      </c>
      <c r="H13">
        <v>905000</v>
      </c>
      <c r="I13">
        <v>8.85</v>
      </c>
      <c r="J13">
        <v>21757.71</v>
      </c>
      <c r="K13">
        <v>128000</v>
      </c>
      <c r="L13">
        <v>361</v>
      </c>
      <c r="M13" s="1" t="s">
        <v>30</v>
      </c>
      <c r="N13" s="1" t="s">
        <v>44</v>
      </c>
      <c r="O13">
        <v>179000</v>
      </c>
      <c r="P13" s="2">
        <v>45671</v>
      </c>
      <c r="Q13">
        <v>578000</v>
      </c>
      <c r="R13" s="1" t="s">
        <v>51</v>
      </c>
      <c r="T13" s="5" t="str">
        <f>IF(AND(Banking_Data_100_Records[[#This Row],[Credit Score]]&gt;750,Banking_Data_100_Records[[#This Row],[Salary]]&gt;60000),"Eligible","Not Eligible")</f>
        <v>Not Eligible</v>
      </c>
      <c r="U13" s="5" t="str">
        <f>IF(Banking_Data_100_Records[[#This Row],[Balance]]&gt;500000,"High Balance","Normal Balance")</f>
        <v>High Balance</v>
      </c>
      <c r="V13" s="5" t="str">
        <f>IF(Banking_Data_100_Records[[#This Row],[Loan Amount]]&gt;1000000,"High Value Customer","Regular Customer")</f>
        <v>Regular Customer</v>
      </c>
      <c r="W13" s="8" t="str">
        <v>Poor</v>
      </c>
      <c r="X13" s="8" t="str">
        <v>Platinum</v>
      </c>
      <c r="Y13" s="9" t="str">
        <f>IF(AND(Banking_Data_100_Records[[#This Row],[Loan Status]]="Approved",Banking_Data_100_Records[[#This Row],[Credit Score]]&gt;=700)," Eligible","Not")</f>
        <v>Not</v>
      </c>
      <c r="Z13" s="9" t="str">
        <f>IF(AND(Banking_Data_100_Records[[#This Row],[Salary]]&gt;=80000,Banking_Data_100_Records[[#This Row],[Balance]]&gt;=300000),"Yes","No")</f>
        <v>Yes</v>
      </c>
      <c r="AA13" s="13" t="str">
        <f>IF(OR(Banking_Data_100_Records[[#This Row],[Salary]]&gt;=80000,Banking_Data_100_Records[[#This Row],[Balance]]&gt;=500000),"Special offer","Not")</f>
        <v>Special offer</v>
      </c>
      <c r="AB13" s="13" t="str">
        <f>IF(OR(Banking_Data_100_Records[[#This Row],[Loan Amount]]&gt;1500000,Banking_Data_100_Records[[#This Row],[Credit Score]]&gt;800),"Priority customer","Not")</f>
        <v>Not</v>
      </c>
    </row>
    <row r="14" spans="1:55" x14ac:dyDescent="0.35">
      <c r="A14" s="1" t="s">
        <v>65</v>
      </c>
      <c r="B14" s="1" t="s">
        <v>66</v>
      </c>
      <c r="C14" s="1" t="s">
        <v>48</v>
      </c>
      <c r="D14" s="1" t="s">
        <v>29</v>
      </c>
      <c r="E14" s="1" t="s">
        <v>54</v>
      </c>
      <c r="F14">
        <v>27</v>
      </c>
      <c r="G14" s="1" t="s">
        <v>36</v>
      </c>
      <c r="H14">
        <v>415000</v>
      </c>
      <c r="I14">
        <v>12.26</v>
      </c>
      <c r="J14">
        <v>11156.58</v>
      </c>
      <c r="K14">
        <v>67000</v>
      </c>
      <c r="L14">
        <v>711</v>
      </c>
      <c r="M14" s="1" t="s">
        <v>24</v>
      </c>
      <c r="N14" s="1" t="s">
        <v>31</v>
      </c>
      <c r="O14">
        <v>111500</v>
      </c>
      <c r="P14" s="2">
        <v>45734</v>
      </c>
      <c r="Q14">
        <v>51000</v>
      </c>
      <c r="R14" s="1" t="s">
        <v>32</v>
      </c>
      <c r="T14" s="5" t="str">
        <f>IF(AND(Banking_Data_100_Records[[#This Row],[Credit Score]]&gt;750,Banking_Data_100_Records[[#This Row],[Salary]]&gt;60000),"Eligible","Not Eligible")</f>
        <v>Not Eligible</v>
      </c>
      <c r="U14" s="5" t="str">
        <f>IF(Banking_Data_100_Records[[#This Row],[Balance]]&gt;500000,"High Balance","Normal Balance")</f>
        <v>Normal Balance</v>
      </c>
      <c r="V14" s="5" t="str">
        <f>IF(Banking_Data_100_Records[[#This Row],[Loan Amount]]&gt;1000000,"High Value Customer","Regular Customer")</f>
        <v>Regular Customer</v>
      </c>
      <c r="W14" s="8" t="str">
        <v>Good</v>
      </c>
      <c r="X14" s="8" t="str">
        <v>Silver</v>
      </c>
      <c r="Y14" s="9" t="str">
        <f>IF(AND(Banking_Data_100_Records[[#This Row],[Loan Status]]="Approved",Banking_Data_100_Records[[#This Row],[Credit Score]]&gt;=700)," Eligible","Not")</f>
        <v>Not</v>
      </c>
      <c r="Z14" s="9" t="str">
        <f>IF(AND(Banking_Data_100_Records[[#This Row],[Salary]]&gt;=80000,Banking_Data_100_Records[[#This Row],[Balance]]&gt;=300000),"Yes","No")</f>
        <v>No</v>
      </c>
      <c r="AA14" s="13" t="str">
        <f>IF(OR(Banking_Data_100_Records[[#This Row],[Salary]]&gt;=80000,Banking_Data_100_Records[[#This Row],[Balance]]&gt;=500000),"Special offer","Not")</f>
        <v>Not</v>
      </c>
      <c r="AB14" s="13" t="str">
        <f>IF(OR(Banking_Data_100_Records[[#This Row],[Loan Amount]]&gt;1500000,Banking_Data_100_Records[[#This Row],[Credit Score]]&gt;800),"Priority customer","Not")</f>
        <v>Not</v>
      </c>
    </row>
    <row r="15" spans="1:55" x14ac:dyDescent="0.35">
      <c r="A15" s="1" t="s">
        <v>67</v>
      </c>
      <c r="B15" s="1" t="s">
        <v>68</v>
      </c>
      <c r="C15" s="1" t="s">
        <v>40</v>
      </c>
      <c r="D15" s="1" t="s">
        <v>29</v>
      </c>
      <c r="E15" s="1" t="s">
        <v>54</v>
      </c>
      <c r="F15">
        <v>50</v>
      </c>
      <c r="G15" s="1" t="s">
        <v>36</v>
      </c>
      <c r="H15">
        <v>1025000</v>
      </c>
      <c r="I15">
        <v>9.42</v>
      </c>
      <c r="J15">
        <v>25129.58</v>
      </c>
      <c r="K15">
        <v>118000</v>
      </c>
      <c r="L15">
        <v>524</v>
      </c>
      <c r="M15" s="1" t="s">
        <v>30</v>
      </c>
      <c r="N15" s="1" t="s">
        <v>25</v>
      </c>
      <c r="O15">
        <v>13500</v>
      </c>
      <c r="P15" s="2">
        <v>45935</v>
      </c>
      <c r="Q15">
        <v>258000</v>
      </c>
      <c r="R15" s="1" t="s">
        <v>51</v>
      </c>
      <c r="T15" s="5" t="str">
        <f>IF(AND(Banking_Data_100_Records[[#This Row],[Credit Score]]&gt;750,Banking_Data_100_Records[[#This Row],[Salary]]&gt;60000),"Eligible","Not Eligible")</f>
        <v>Not Eligible</v>
      </c>
      <c r="U15" s="5" t="str">
        <f>IF(Banking_Data_100_Records[[#This Row],[Balance]]&gt;500000,"High Balance","Normal Balance")</f>
        <v>Normal Balance</v>
      </c>
      <c r="V15" s="5" t="str">
        <f>IF(Banking_Data_100_Records[[#This Row],[Loan Amount]]&gt;1000000,"High Value Customer","Regular Customer")</f>
        <v>High Value Customer</v>
      </c>
      <c r="W15" s="8" t="str">
        <v>Poor</v>
      </c>
      <c r="X15" s="8" t="str">
        <v>Platinum</v>
      </c>
      <c r="Y15" s="9" t="str">
        <f>IF(AND(Banking_Data_100_Records[[#This Row],[Loan Status]]="Approved",Banking_Data_100_Records[[#This Row],[Credit Score]]&gt;=700)," Eligible","Not")</f>
        <v>Not</v>
      </c>
      <c r="Z15" s="9" t="str">
        <f>IF(AND(Banking_Data_100_Records[[#This Row],[Salary]]&gt;=80000,Banking_Data_100_Records[[#This Row],[Balance]]&gt;=300000),"Yes","No")</f>
        <v>No</v>
      </c>
      <c r="AA15" s="13" t="str">
        <f>IF(OR(Banking_Data_100_Records[[#This Row],[Salary]]&gt;=80000,Banking_Data_100_Records[[#This Row],[Balance]]&gt;=500000),"Special offer","Not")</f>
        <v>Special offer</v>
      </c>
      <c r="AB15" s="13" t="str">
        <f>IF(OR(Banking_Data_100_Records[[#This Row],[Loan Amount]]&gt;1500000,Banking_Data_100_Records[[#This Row],[Credit Score]]&gt;800),"Priority customer","Not")</f>
        <v>Not</v>
      </c>
    </row>
    <row r="16" spans="1:55" x14ac:dyDescent="0.35">
      <c r="A16" s="1" t="s">
        <v>69</v>
      </c>
      <c r="B16" s="1" t="s">
        <v>70</v>
      </c>
      <c r="C16" s="1" t="s">
        <v>71</v>
      </c>
      <c r="D16" s="1" t="s">
        <v>29</v>
      </c>
      <c r="E16" s="1" t="s">
        <v>22</v>
      </c>
      <c r="F16">
        <v>25</v>
      </c>
      <c r="G16" s="1" t="s">
        <v>36</v>
      </c>
      <c r="H16">
        <v>465000</v>
      </c>
      <c r="I16">
        <v>10.64</v>
      </c>
      <c r="J16">
        <v>11873</v>
      </c>
      <c r="K16">
        <v>27000</v>
      </c>
      <c r="L16">
        <v>588</v>
      </c>
      <c r="M16" s="1" t="s">
        <v>24</v>
      </c>
      <c r="N16" s="1" t="s">
        <v>25</v>
      </c>
      <c r="O16">
        <v>190500</v>
      </c>
      <c r="P16" s="2">
        <v>45798</v>
      </c>
      <c r="Q16">
        <v>55000</v>
      </c>
      <c r="R16" s="1" t="s">
        <v>26</v>
      </c>
      <c r="T16" s="5" t="str">
        <f>IF(AND(Banking_Data_100_Records[[#This Row],[Credit Score]]&gt;750,Banking_Data_100_Records[[#This Row],[Salary]]&gt;60000),"Eligible","Not Eligible")</f>
        <v>Not Eligible</v>
      </c>
      <c r="U16" s="5" t="str">
        <f>IF(Banking_Data_100_Records[[#This Row],[Balance]]&gt;500000,"High Balance","Normal Balance")</f>
        <v>Normal Balance</v>
      </c>
      <c r="V16" s="5" t="str">
        <f>IF(Banking_Data_100_Records[[#This Row],[Loan Amount]]&gt;1000000,"High Value Customer","Regular Customer")</f>
        <v>Regular Customer</v>
      </c>
      <c r="W16" s="8" t="str">
        <v>Poor</v>
      </c>
      <c r="X16" s="8" t="str">
        <v>Bronze</v>
      </c>
      <c r="Y16" s="9" t="str">
        <f>IF(AND(Banking_Data_100_Records[[#This Row],[Loan Status]]="Approved",Banking_Data_100_Records[[#This Row],[Credit Score]]&gt;=700)," Eligible","Not")</f>
        <v>Not</v>
      </c>
      <c r="Z16" s="9" t="str">
        <f>IF(AND(Banking_Data_100_Records[[#This Row],[Salary]]&gt;=80000,Banking_Data_100_Records[[#This Row],[Balance]]&gt;=300000),"Yes","No")</f>
        <v>No</v>
      </c>
      <c r="AA16" s="13" t="str">
        <f>IF(OR(Banking_Data_100_Records[[#This Row],[Salary]]&gt;=80000,Banking_Data_100_Records[[#This Row],[Balance]]&gt;=500000),"Special offer","Not")</f>
        <v>Not</v>
      </c>
      <c r="AB16" s="13" t="str">
        <f>IF(OR(Banking_Data_100_Records[[#This Row],[Loan Amount]]&gt;1500000,Banking_Data_100_Records[[#This Row],[Credit Score]]&gt;800),"Priority customer","Not")</f>
        <v>Not</v>
      </c>
    </row>
    <row r="17" spans="1:28" x14ac:dyDescent="0.35">
      <c r="A17" s="1" t="s">
        <v>72</v>
      </c>
      <c r="B17" s="1" t="s">
        <v>73</v>
      </c>
      <c r="C17" s="1" t="s">
        <v>35</v>
      </c>
      <c r="D17" s="1" t="s">
        <v>29</v>
      </c>
      <c r="E17" s="1" t="s">
        <v>54</v>
      </c>
      <c r="F17">
        <v>36</v>
      </c>
      <c r="G17" s="1" t="s">
        <v>23</v>
      </c>
      <c r="H17">
        <v>1255000</v>
      </c>
      <c r="I17">
        <v>9.19</v>
      </c>
      <c r="J17">
        <v>30527.88</v>
      </c>
      <c r="K17">
        <v>84000</v>
      </c>
      <c r="L17">
        <v>727</v>
      </c>
      <c r="M17" s="1" t="s">
        <v>37</v>
      </c>
      <c r="N17" s="1" t="s">
        <v>31</v>
      </c>
      <c r="O17">
        <v>38000</v>
      </c>
      <c r="P17" s="2">
        <v>45976</v>
      </c>
      <c r="Q17">
        <v>756000</v>
      </c>
      <c r="R17" s="1" t="s">
        <v>60</v>
      </c>
      <c r="T17" s="5" t="str">
        <f>IF(AND(Banking_Data_100_Records[[#This Row],[Credit Score]]&gt;750,Banking_Data_100_Records[[#This Row],[Salary]]&gt;60000),"Eligible","Not Eligible")</f>
        <v>Not Eligible</v>
      </c>
      <c r="U17" s="5" t="str">
        <f>IF(Banking_Data_100_Records[[#This Row],[Balance]]&gt;500000,"High Balance","Normal Balance")</f>
        <v>High Balance</v>
      </c>
      <c r="V17" s="5" t="str">
        <f>IF(Banking_Data_100_Records[[#This Row],[Loan Amount]]&gt;1000000,"High Value Customer","Regular Customer")</f>
        <v>High Value Customer</v>
      </c>
      <c r="W17" s="8" t="str">
        <v>Good</v>
      </c>
      <c r="X17" s="8" t="str">
        <v>Gold</v>
      </c>
      <c r="Y17" s="9" t="str">
        <f>IF(AND(Banking_Data_100_Records[[#This Row],[Loan Status]]="Approved",Banking_Data_100_Records[[#This Row],[Credit Score]]&gt;=700)," Eligible","Not")</f>
        <v xml:space="preserve"> Eligible</v>
      </c>
      <c r="Z17" s="9" t="str">
        <f>IF(AND(Banking_Data_100_Records[[#This Row],[Salary]]&gt;=80000,Banking_Data_100_Records[[#This Row],[Balance]]&gt;=300000),"Yes","No")</f>
        <v>Yes</v>
      </c>
      <c r="AA17" s="13" t="str">
        <f>IF(OR(Banking_Data_100_Records[[#This Row],[Salary]]&gt;=80000,Banking_Data_100_Records[[#This Row],[Balance]]&gt;=500000),"Special offer","Not")</f>
        <v>Special offer</v>
      </c>
      <c r="AB17" s="13" t="str">
        <f>IF(OR(Banking_Data_100_Records[[#This Row],[Loan Amount]]&gt;1500000,Banking_Data_100_Records[[#This Row],[Credit Score]]&gt;800),"Priority customer","Not")</f>
        <v>Not</v>
      </c>
    </row>
    <row r="18" spans="1:28" x14ac:dyDescent="0.35">
      <c r="A18" s="1" t="s">
        <v>74</v>
      </c>
      <c r="B18" s="1" t="s">
        <v>75</v>
      </c>
      <c r="C18" s="1" t="s">
        <v>71</v>
      </c>
      <c r="D18" s="1" t="s">
        <v>21</v>
      </c>
      <c r="E18" s="1" t="s">
        <v>22</v>
      </c>
      <c r="F18">
        <v>37</v>
      </c>
      <c r="G18" s="1" t="s">
        <v>23</v>
      </c>
      <c r="H18">
        <v>1445000</v>
      </c>
      <c r="I18">
        <v>13.89</v>
      </c>
      <c r="J18">
        <v>40809.21</v>
      </c>
      <c r="K18">
        <v>26000</v>
      </c>
      <c r="L18">
        <v>352</v>
      </c>
      <c r="M18" s="1" t="s">
        <v>24</v>
      </c>
      <c r="N18" s="1" t="s">
        <v>31</v>
      </c>
      <c r="O18">
        <v>172000</v>
      </c>
      <c r="P18" s="2">
        <v>45926</v>
      </c>
      <c r="Q18">
        <v>63000</v>
      </c>
      <c r="R18" s="1" t="s">
        <v>51</v>
      </c>
      <c r="T18" s="5" t="str">
        <f>IF(AND(Banking_Data_100_Records[[#This Row],[Credit Score]]&gt;750,Banking_Data_100_Records[[#This Row],[Salary]]&gt;60000),"Eligible","Not Eligible")</f>
        <v>Not Eligible</v>
      </c>
      <c r="U18" s="5" t="str">
        <f>IF(Banking_Data_100_Records[[#This Row],[Balance]]&gt;500000,"High Balance","Normal Balance")</f>
        <v>Normal Balance</v>
      </c>
      <c r="V18" s="5" t="str">
        <f>IF(Banking_Data_100_Records[[#This Row],[Loan Amount]]&gt;1000000,"High Value Customer","Regular Customer")</f>
        <v>High Value Customer</v>
      </c>
      <c r="W18" s="8" t="str">
        <v>Poor</v>
      </c>
      <c r="X18" s="8" t="str">
        <v>Bronze</v>
      </c>
      <c r="Y18" s="9" t="str">
        <f>IF(AND(Banking_Data_100_Records[[#This Row],[Loan Status]]="Approved",Banking_Data_100_Records[[#This Row],[Credit Score]]&gt;=700)," Eligible","Not")</f>
        <v>Not</v>
      </c>
      <c r="Z18" s="9" t="str">
        <f>IF(AND(Banking_Data_100_Records[[#This Row],[Salary]]&gt;=80000,Banking_Data_100_Records[[#This Row],[Balance]]&gt;=300000),"Yes","No")</f>
        <v>No</v>
      </c>
      <c r="AA18" s="13" t="str">
        <f>IF(OR(Banking_Data_100_Records[[#This Row],[Salary]]&gt;=80000,Banking_Data_100_Records[[#This Row],[Balance]]&gt;=500000),"Special offer","Not")</f>
        <v>Not</v>
      </c>
      <c r="AB18" s="13" t="str">
        <f>IF(OR(Banking_Data_100_Records[[#This Row],[Loan Amount]]&gt;1500000,Banking_Data_100_Records[[#This Row],[Credit Score]]&gt;800),"Priority customer","Not")</f>
        <v>Not</v>
      </c>
    </row>
    <row r="19" spans="1:28" x14ac:dyDescent="0.35">
      <c r="A19" s="1" t="s">
        <v>76</v>
      </c>
      <c r="B19" s="1" t="s">
        <v>77</v>
      </c>
      <c r="C19" s="1" t="s">
        <v>40</v>
      </c>
      <c r="D19" s="1" t="s">
        <v>29</v>
      </c>
      <c r="E19" s="1" t="s">
        <v>22</v>
      </c>
      <c r="F19">
        <v>58</v>
      </c>
      <c r="G19" s="1" t="s">
        <v>41</v>
      </c>
      <c r="H19">
        <v>85000</v>
      </c>
      <c r="I19">
        <v>8.91</v>
      </c>
      <c r="J19">
        <v>2047.79</v>
      </c>
      <c r="K19">
        <v>142000</v>
      </c>
      <c r="L19">
        <v>380</v>
      </c>
      <c r="M19" s="1" t="s">
        <v>30</v>
      </c>
      <c r="N19" s="1" t="s">
        <v>44</v>
      </c>
      <c r="O19">
        <v>18000</v>
      </c>
      <c r="P19" s="2">
        <v>45766</v>
      </c>
      <c r="Q19">
        <v>114000</v>
      </c>
      <c r="R19" s="1" t="s">
        <v>51</v>
      </c>
      <c r="T19" s="5" t="str">
        <f>IF(AND(Banking_Data_100_Records[[#This Row],[Credit Score]]&gt;750,Banking_Data_100_Records[[#This Row],[Salary]]&gt;60000),"Eligible","Not Eligible")</f>
        <v>Not Eligible</v>
      </c>
      <c r="U19" s="5" t="str">
        <f>IF(Banking_Data_100_Records[[#This Row],[Balance]]&gt;500000,"High Balance","Normal Balance")</f>
        <v>Normal Balance</v>
      </c>
      <c r="V19" s="5" t="str">
        <f>IF(Banking_Data_100_Records[[#This Row],[Loan Amount]]&gt;1000000,"High Value Customer","Regular Customer")</f>
        <v>Regular Customer</v>
      </c>
      <c r="W19" s="8" t="str">
        <v>Poor</v>
      </c>
      <c r="X19" s="8" t="str">
        <v>Platinum</v>
      </c>
      <c r="Y19" s="9" t="str">
        <f>IF(AND(Banking_Data_100_Records[[#This Row],[Loan Status]]="Approved",Banking_Data_100_Records[[#This Row],[Credit Score]]&gt;=700)," Eligible","Not")</f>
        <v>Not</v>
      </c>
      <c r="Z19" s="9" t="str">
        <f>IF(AND(Banking_Data_100_Records[[#This Row],[Salary]]&gt;=80000,Banking_Data_100_Records[[#This Row],[Balance]]&gt;=300000),"Yes","No")</f>
        <v>No</v>
      </c>
      <c r="AA19" s="13" t="str">
        <f>IF(OR(Banking_Data_100_Records[[#This Row],[Salary]]&gt;=80000,Banking_Data_100_Records[[#This Row],[Balance]]&gt;=500000),"Special offer","Not")</f>
        <v>Special offer</v>
      </c>
      <c r="AB19" s="13" t="str">
        <f>IF(OR(Banking_Data_100_Records[[#This Row],[Loan Amount]]&gt;1500000,Banking_Data_100_Records[[#This Row],[Credit Score]]&gt;800),"Priority customer","Not")</f>
        <v>Not</v>
      </c>
    </row>
    <row r="20" spans="1:28" x14ac:dyDescent="0.35">
      <c r="A20" s="1" t="s">
        <v>78</v>
      </c>
      <c r="B20" s="1" t="s">
        <v>79</v>
      </c>
      <c r="C20" s="1" t="s">
        <v>71</v>
      </c>
      <c r="D20" s="1" t="s">
        <v>29</v>
      </c>
      <c r="E20" s="1" t="s">
        <v>22</v>
      </c>
      <c r="F20">
        <v>39</v>
      </c>
      <c r="G20" s="1" t="s">
        <v>36</v>
      </c>
      <c r="H20">
        <v>1850000</v>
      </c>
      <c r="I20">
        <v>8.65</v>
      </c>
      <c r="J20">
        <v>44168.75</v>
      </c>
      <c r="K20">
        <v>50000</v>
      </c>
      <c r="L20">
        <v>627</v>
      </c>
      <c r="M20" s="1" t="s">
        <v>30</v>
      </c>
      <c r="N20" s="1" t="s">
        <v>31</v>
      </c>
      <c r="O20">
        <v>150000</v>
      </c>
      <c r="P20" s="2">
        <v>45694</v>
      </c>
      <c r="Q20">
        <v>930000</v>
      </c>
      <c r="R20" s="1" t="s">
        <v>45</v>
      </c>
      <c r="T20" s="5" t="str">
        <f>IF(AND(Banking_Data_100_Records[[#This Row],[Credit Score]]&gt;750,Banking_Data_100_Records[[#This Row],[Salary]]&gt;60000),"Eligible","Not Eligible")</f>
        <v>Not Eligible</v>
      </c>
      <c r="U20" s="5" t="str">
        <f>IF(Banking_Data_100_Records[[#This Row],[Balance]]&gt;500000,"High Balance","Normal Balance")</f>
        <v>High Balance</v>
      </c>
      <c r="V20" s="5" t="str">
        <f>IF(Banking_Data_100_Records[[#This Row],[Loan Amount]]&gt;1000000,"High Value Customer","Regular Customer")</f>
        <v>High Value Customer</v>
      </c>
      <c r="W20" s="8" t="str">
        <v>Average</v>
      </c>
      <c r="X20" s="8" t="str">
        <v>Silver</v>
      </c>
      <c r="Y20" s="9" t="str">
        <f>IF(AND(Banking_Data_100_Records[[#This Row],[Loan Status]]="Approved",Banking_Data_100_Records[[#This Row],[Credit Score]]&gt;=700)," Eligible","Not")</f>
        <v>Not</v>
      </c>
      <c r="Z20" s="9" t="str">
        <f>IF(AND(Banking_Data_100_Records[[#This Row],[Salary]]&gt;=80000,Banking_Data_100_Records[[#This Row],[Balance]]&gt;=300000),"Yes","No")</f>
        <v>No</v>
      </c>
      <c r="AA20" s="13" t="str">
        <f>IF(OR(Banking_Data_100_Records[[#This Row],[Salary]]&gt;=80000,Banking_Data_100_Records[[#This Row],[Balance]]&gt;=500000),"Special offer","Not")</f>
        <v>Special offer</v>
      </c>
      <c r="AB20" s="13" t="str">
        <f>IF(OR(Banking_Data_100_Records[[#This Row],[Loan Amount]]&gt;1500000,Banking_Data_100_Records[[#This Row],[Credit Score]]&gt;800),"Priority customer","Not")</f>
        <v>Priority customer</v>
      </c>
    </row>
    <row r="21" spans="1:28" x14ac:dyDescent="0.35">
      <c r="A21" s="1" t="s">
        <v>80</v>
      </c>
      <c r="B21" s="1" t="s">
        <v>81</v>
      </c>
      <c r="C21" s="1" t="s">
        <v>20</v>
      </c>
      <c r="D21" s="1" t="s">
        <v>29</v>
      </c>
      <c r="E21" s="1" t="s">
        <v>54</v>
      </c>
      <c r="F21">
        <v>51</v>
      </c>
      <c r="G21" s="1" t="s">
        <v>23</v>
      </c>
      <c r="H21">
        <v>1190000</v>
      </c>
      <c r="I21">
        <v>9.76</v>
      </c>
      <c r="J21">
        <v>29512</v>
      </c>
      <c r="K21">
        <v>104000</v>
      </c>
      <c r="L21">
        <v>653</v>
      </c>
      <c r="M21" s="1" t="s">
        <v>24</v>
      </c>
      <c r="N21" s="1" t="s">
        <v>44</v>
      </c>
      <c r="O21">
        <v>9000</v>
      </c>
      <c r="P21" s="2">
        <v>45985</v>
      </c>
      <c r="Q21">
        <v>926000</v>
      </c>
      <c r="R21" s="1" t="s">
        <v>45</v>
      </c>
      <c r="T21" s="5" t="str">
        <f>IF(AND(Banking_Data_100_Records[[#This Row],[Credit Score]]&gt;750,Banking_Data_100_Records[[#This Row],[Salary]]&gt;60000),"Eligible","Not Eligible")</f>
        <v>Not Eligible</v>
      </c>
      <c r="U21" s="5" t="str">
        <f>IF(Banking_Data_100_Records[[#This Row],[Balance]]&gt;500000,"High Balance","Normal Balance")</f>
        <v>High Balance</v>
      </c>
      <c r="V21" s="5" t="str">
        <f>IF(Banking_Data_100_Records[[#This Row],[Loan Amount]]&gt;1000000,"High Value Customer","Regular Customer")</f>
        <v>High Value Customer</v>
      </c>
      <c r="W21" s="8" t="str">
        <v>Average</v>
      </c>
      <c r="X21" s="8" t="str">
        <v>Platinum</v>
      </c>
      <c r="Y21" s="9" t="str">
        <f>IF(AND(Banking_Data_100_Records[[#This Row],[Loan Status]]="Approved",Banking_Data_100_Records[[#This Row],[Credit Score]]&gt;=700)," Eligible","Not")</f>
        <v>Not</v>
      </c>
      <c r="Z21" s="9" t="str">
        <f>IF(AND(Banking_Data_100_Records[[#This Row],[Salary]]&gt;=80000,Banking_Data_100_Records[[#This Row],[Balance]]&gt;=300000),"Yes","No")</f>
        <v>Yes</v>
      </c>
      <c r="AA21" s="13" t="str">
        <f>IF(OR(Banking_Data_100_Records[[#This Row],[Salary]]&gt;=80000,Banking_Data_100_Records[[#This Row],[Balance]]&gt;=500000),"Special offer","Not")</f>
        <v>Special offer</v>
      </c>
      <c r="AB21" s="13" t="str">
        <f>IF(OR(Banking_Data_100_Records[[#This Row],[Loan Amount]]&gt;1500000,Banking_Data_100_Records[[#This Row],[Credit Score]]&gt;800),"Priority customer","Not")</f>
        <v>Not</v>
      </c>
    </row>
    <row r="22" spans="1:28" x14ac:dyDescent="0.35">
      <c r="A22" s="1" t="s">
        <v>82</v>
      </c>
      <c r="B22" s="1" t="s">
        <v>83</v>
      </c>
      <c r="C22" s="1" t="s">
        <v>20</v>
      </c>
      <c r="D22" s="1" t="s">
        <v>21</v>
      </c>
      <c r="E22" s="1" t="s">
        <v>54</v>
      </c>
      <c r="F22">
        <v>43</v>
      </c>
      <c r="G22" s="1" t="s">
        <v>23</v>
      </c>
      <c r="H22">
        <v>1040000</v>
      </c>
      <c r="I22">
        <v>8.6300000000000008</v>
      </c>
      <c r="J22">
        <v>24812.67</v>
      </c>
      <c r="K22">
        <v>64000</v>
      </c>
      <c r="L22">
        <v>395</v>
      </c>
      <c r="M22" s="1" t="s">
        <v>30</v>
      </c>
      <c r="N22" s="1" t="s">
        <v>25</v>
      </c>
      <c r="O22">
        <v>17500</v>
      </c>
      <c r="P22" s="2">
        <v>45742</v>
      </c>
      <c r="Q22">
        <v>408000</v>
      </c>
      <c r="R22" s="1" t="s">
        <v>51</v>
      </c>
      <c r="T22" s="5" t="str">
        <f>IF(AND(Banking_Data_100_Records[[#This Row],[Credit Score]]&gt;750,Banking_Data_100_Records[[#This Row],[Salary]]&gt;60000),"Eligible","Not Eligible")</f>
        <v>Not Eligible</v>
      </c>
      <c r="U22" s="5" t="str">
        <f>IF(Banking_Data_100_Records[[#This Row],[Balance]]&gt;500000,"High Balance","Normal Balance")</f>
        <v>Normal Balance</v>
      </c>
      <c r="V22" s="5" t="str">
        <f>IF(Banking_Data_100_Records[[#This Row],[Loan Amount]]&gt;1000000,"High Value Customer","Regular Customer")</f>
        <v>High Value Customer</v>
      </c>
      <c r="W22" s="8" t="str">
        <v>Poor</v>
      </c>
      <c r="X22" s="8" t="str">
        <v>Silver</v>
      </c>
      <c r="Y22" s="9" t="str">
        <f>IF(AND(Banking_Data_100_Records[[#This Row],[Loan Status]]="Approved",Banking_Data_100_Records[[#This Row],[Credit Score]]&gt;=700)," Eligible","Not")</f>
        <v>Not</v>
      </c>
      <c r="Z22" s="9" t="str">
        <f>IF(AND(Banking_Data_100_Records[[#This Row],[Salary]]&gt;=80000,Banking_Data_100_Records[[#This Row],[Balance]]&gt;=300000),"Yes","No")</f>
        <v>No</v>
      </c>
      <c r="AA22" s="13" t="str">
        <f>IF(OR(Banking_Data_100_Records[[#This Row],[Salary]]&gt;=80000,Banking_Data_100_Records[[#This Row],[Balance]]&gt;=500000),"Special offer","Not")</f>
        <v>Not</v>
      </c>
      <c r="AB22" s="13" t="str">
        <f>IF(OR(Banking_Data_100_Records[[#This Row],[Loan Amount]]&gt;1500000,Banking_Data_100_Records[[#This Row],[Credit Score]]&gt;800),"Priority customer","Not")</f>
        <v>Not</v>
      </c>
    </row>
    <row r="23" spans="1:28" x14ac:dyDescent="0.35">
      <c r="A23" s="1" t="s">
        <v>84</v>
      </c>
      <c r="B23" s="1" t="s">
        <v>85</v>
      </c>
      <c r="C23" s="1" t="s">
        <v>35</v>
      </c>
      <c r="D23" s="1" t="s">
        <v>21</v>
      </c>
      <c r="E23" s="1" t="s">
        <v>22</v>
      </c>
      <c r="F23">
        <v>44</v>
      </c>
      <c r="G23" s="1" t="s">
        <v>23</v>
      </c>
      <c r="H23">
        <v>1150000</v>
      </c>
      <c r="I23">
        <v>7.38</v>
      </c>
      <c r="J23">
        <v>26239.17</v>
      </c>
      <c r="K23">
        <v>42000</v>
      </c>
      <c r="L23">
        <v>442</v>
      </c>
      <c r="M23" s="1" t="s">
        <v>30</v>
      </c>
      <c r="N23" s="1" t="s">
        <v>31</v>
      </c>
      <c r="O23">
        <v>151000</v>
      </c>
      <c r="P23" s="2">
        <v>45776</v>
      </c>
      <c r="Q23">
        <v>195000</v>
      </c>
      <c r="R23" s="1" t="s">
        <v>26</v>
      </c>
      <c r="T23" s="5" t="str">
        <f>IF(AND(Banking_Data_100_Records[[#This Row],[Credit Score]]&gt;750,Banking_Data_100_Records[[#This Row],[Salary]]&gt;60000),"Eligible","Not Eligible")</f>
        <v>Not Eligible</v>
      </c>
      <c r="U23" s="5" t="str">
        <f>IF(Banking_Data_100_Records[[#This Row],[Balance]]&gt;500000,"High Balance","Normal Balance")</f>
        <v>Normal Balance</v>
      </c>
      <c r="V23" s="5" t="str">
        <f>IF(Banking_Data_100_Records[[#This Row],[Loan Amount]]&gt;1000000,"High Value Customer","Regular Customer")</f>
        <v>High Value Customer</v>
      </c>
      <c r="W23" s="8" t="str">
        <v>Poor</v>
      </c>
      <c r="X23" s="8" t="str">
        <v>Silver</v>
      </c>
      <c r="Y23" s="9" t="str">
        <f>IF(AND(Banking_Data_100_Records[[#This Row],[Loan Status]]="Approved",Banking_Data_100_Records[[#This Row],[Credit Score]]&gt;=700)," Eligible","Not")</f>
        <v>Not</v>
      </c>
      <c r="Z23" s="9" t="str">
        <f>IF(AND(Banking_Data_100_Records[[#This Row],[Salary]]&gt;=80000,Banking_Data_100_Records[[#This Row],[Balance]]&gt;=300000),"Yes","No")</f>
        <v>No</v>
      </c>
      <c r="AA23" s="13" t="str">
        <f>IF(OR(Banking_Data_100_Records[[#This Row],[Salary]]&gt;=80000,Banking_Data_100_Records[[#This Row],[Balance]]&gt;=500000),"Special offer","Not")</f>
        <v>Not</v>
      </c>
      <c r="AB23" s="13" t="str">
        <f>IF(OR(Banking_Data_100_Records[[#This Row],[Loan Amount]]&gt;1500000,Banking_Data_100_Records[[#This Row],[Credit Score]]&gt;800),"Priority customer","Not")</f>
        <v>Not</v>
      </c>
    </row>
    <row r="24" spans="1:28" x14ac:dyDescent="0.35">
      <c r="A24" s="1" t="s">
        <v>86</v>
      </c>
      <c r="B24" s="1" t="s">
        <v>73</v>
      </c>
      <c r="C24" s="1" t="s">
        <v>20</v>
      </c>
      <c r="D24" s="1" t="s">
        <v>21</v>
      </c>
      <c r="E24" s="1" t="s">
        <v>22</v>
      </c>
      <c r="F24">
        <v>49</v>
      </c>
      <c r="G24" s="1" t="s">
        <v>41</v>
      </c>
      <c r="H24">
        <v>995000</v>
      </c>
      <c r="I24">
        <v>8.74</v>
      </c>
      <c r="J24">
        <v>23830.25</v>
      </c>
      <c r="K24">
        <v>110000</v>
      </c>
      <c r="L24">
        <v>421</v>
      </c>
      <c r="M24" s="1" t="s">
        <v>24</v>
      </c>
      <c r="N24" s="1" t="s">
        <v>31</v>
      </c>
      <c r="O24">
        <v>94500</v>
      </c>
      <c r="P24" s="2">
        <v>45929</v>
      </c>
      <c r="Q24">
        <v>296000</v>
      </c>
      <c r="R24" s="1" t="s">
        <v>51</v>
      </c>
      <c r="T24" s="5" t="str">
        <f>IF(AND(Banking_Data_100_Records[[#This Row],[Credit Score]]&gt;750,Banking_Data_100_Records[[#This Row],[Salary]]&gt;60000),"Eligible","Not Eligible")</f>
        <v>Not Eligible</v>
      </c>
      <c r="U24" s="5" t="str">
        <f>IF(Banking_Data_100_Records[[#This Row],[Balance]]&gt;500000,"High Balance","Normal Balance")</f>
        <v>Normal Balance</v>
      </c>
      <c r="V24" s="5" t="str">
        <f>IF(Banking_Data_100_Records[[#This Row],[Loan Amount]]&gt;1000000,"High Value Customer","Regular Customer")</f>
        <v>Regular Customer</v>
      </c>
      <c r="W24" s="8" t="str">
        <v>Poor</v>
      </c>
      <c r="X24" s="8" t="str">
        <v>Platinum</v>
      </c>
      <c r="Y24" s="9" t="str">
        <f>IF(AND(Banking_Data_100_Records[[#This Row],[Loan Status]]="Approved",Banking_Data_100_Records[[#This Row],[Credit Score]]&gt;=700)," Eligible","Not")</f>
        <v>Not</v>
      </c>
      <c r="Z24" s="9" t="str">
        <f>IF(AND(Banking_Data_100_Records[[#This Row],[Salary]]&gt;=80000,Banking_Data_100_Records[[#This Row],[Balance]]&gt;=300000),"Yes","No")</f>
        <v>No</v>
      </c>
      <c r="AA24" s="13" t="str">
        <f>IF(OR(Banking_Data_100_Records[[#This Row],[Salary]]&gt;=80000,Banking_Data_100_Records[[#This Row],[Balance]]&gt;=500000),"Special offer","Not")</f>
        <v>Special offer</v>
      </c>
      <c r="AB24" s="13" t="str">
        <f>IF(OR(Banking_Data_100_Records[[#This Row],[Loan Amount]]&gt;1500000,Banking_Data_100_Records[[#This Row],[Credit Score]]&gt;800),"Priority customer","Not")</f>
        <v>Not</v>
      </c>
    </row>
    <row r="25" spans="1:28" x14ac:dyDescent="0.35">
      <c r="A25" s="1" t="s">
        <v>87</v>
      </c>
      <c r="B25" s="1" t="s">
        <v>88</v>
      </c>
      <c r="C25" s="1" t="s">
        <v>48</v>
      </c>
      <c r="D25" s="1" t="s">
        <v>29</v>
      </c>
      <c r="E25" s="1" t="s">
        <v>54</v>
      </c>
      <c r="F25">
        <v>35</v>
      </c>
      <c r="G25" s="1" t="s">
        <v>57</v>
      </c>
      <c r="H25">
        <v>1830000</v>
      </c>
      <c r="I25">
        <v>12.65</v>
      </c>
      <c r="J25">
        <v>49791.25</v>
      </c>
      <c r="K25">
        <v>148000</v>
      </c>
      <c r="L25">
        <v>603</v>
      </c>
      <c r="M25" s="1" t="s">
        <v>24</v>
      </c>
      <c r="N25" s="1" t="s">
        <v>25</v>
      </c>
      <c r="O25">
        <v>59000</v>
      </c>
      <c r="P25" s="2">
        <v>45942</v>
      </c>
      <c r="Q25">
        <v>309000</v>
      </c>
      <c r="R25" s="1" t="s">
        <v>26</v>
      </c>
      <c r="T25" s="5" t="str">
        <f>IF(AND(Banking_Data_100_Records[[#This Row],[Credit Score]]&gt;750,Banking_Data_100_Records[[#This Row],[Salary]]&gt;60000),"Eligible","Not Eligible")</f>
        <v>Not Eligible</v>
      </c>
      <c r="U25" s="5" t="str">
        <f>IF(Banking_Data_100_Records[[#This Row],[Balance]]&gt;500000,"High Balance","Normal Balance")</f>
        <v>Normal Balance</v>
      </c>
      <c r="V25" s="5" t="str">
        <f>IF(Banking_Data_100_Records[[#This Row],[Loan Amount]]&gt;1000000,"High Value Customer","Regular Customer")</f>
        <v>High Value Customer</v>
      </c>
      <c r="W25" s="8" t="str">
        <v>Average</v>
      </c>
      <c r="X25" s="8" t="str">
        <v>Platinum</v>
      </c>
      <c r="Y25" s="9" t="str">
        <f>IF(AND(Banking_Data_100_Records[[#This Row],[Loan Status]]="Approved",Banking_Data_100_Records[[#This Row],[Credit Score]]&gt;=700)," Eligible","Not")</f>
        <v>Not</v>
      </c>
      <c r="Z25" s="9" t="str">
        <f>IF(AND(Banking_Data_100_Records[[#This Row],[Salary]]&gt;=80000,Banking_Data_100_Records[[#This Row],[Balance]]&gt;=300000),"Yes","No")</f>
        <v>Yes</v>
      </c>
      <c r="AA25" s="13" t="str">
        <f>IF(OR(Banking_Data_100_Records[[#This Row],[Salary]]&gt;=80000,Banking_Data_100_Records[[#This Row],[Balance]]&gt;=500000),"Special offer","Not")</f>
        <v>Special offer</v>
      </c>
      <c r="AB25" s="13" t="str">
        <f>IF(OR(Banking_Data_100_Records[[#This Row],[Loan Amount]]&gt;1500000,Banking_Data_100_Records[[#This Row],[Credit Score]]&gt;800),"Priority customer","Not")</f>
        <v>Priority customer</v>
      </c>
    </row>
    <row r="26" spans="1:28" x14ac:dyDescent="0.35">
      <c r="A26" s="1" t="s">
        <v>89</v>
      </c>
      <c r="B26" s="1" t="s">
        <v>90</v>
      </c>
      <c r="C26" s="1" t="s">
        <v>71</v>
      </c>
      <c r="D26" s="1" t="s">
        <v>21</v>
      </c>
      <c r="E26" s="1" t="s">
        <v>22</v>
      </c>
      <c r="F26">
        <v>45</v>
      </c>
      <c r="G26" s="1" t="s">
        <v>23</v>
      </c>
      <c r="H26">
        <v>1500000</v>
      </c>
      <c r="I26">
        <v>13.71</v>
      </c>
      <c r="J26">
        <v>42137.5</v>
      </c>
      <c r="K26">
        <v>24000</v>
      </c>
      <c r="L26">
        <v>389</v>
      </c>
      <c r="M26" s="1" t="s">
        <v>30</v>
      </c>
      <c r="N26" s="1" t="s">
        <v>31</v>
      </c>
      <c r="O26">
        <v>147500</v>
      </c>
      <c r="P26" s="2">
        <v>45710</v>
      </c>
      <c r="Q26">
        <v>802000</v>
      </c>
      <c r="R26" s="1" t="s">
        <v>26</v>
      </c>
      <c r="T26" s="5" t="str">
        <f>IF(AND(Banking_Data_100_Records[[#This Row],[Credit Score]]&gt;750,Banking_Data_100_Records[[#This Row],[Salary]]&gt;60000),"Eligible","Not Eligible")</f>
        <v>Not Eligible</v>
      </c>
      <c r="U26" s="5" t="str">
        <f>IF(Banking_Data_100_Records[[#This Row],[Balance]]&gt;500000,"High Balance","Normal Balance")</f>
        <v>High Balance</v>
      </c>
      <c r="V26" s="5" t="str">
        <f>IF(Banking_Data_100_Records[[#This Row],[Loan Amount]]&gt;1000000,"High Value Customer","Regular Customer")</f>
        <v>High Value Customer</v>
      </c>
      <c r="W26" s="8" t="str">
        <v>Poor</v>
      </c>
      <c r="X26" s="8" t="str">
        <v>Bronze</v>
      </c>
      <c r="Y26" s="9" t="str">
        <f>IF(AND(Banking_Data_100_Records[[#This Row],[Loan Status]]="Approved",Banking_Data_100_Records[[#This Row],[Credit Score]]&gt;=700)," Eligible","Not")</f>
        <v>Not</v>
      </c>
      <c r="Z26" s="9" t="str">
        <f>IF(AND(Banking_Data_100_Records[[#This Row],[Salary]]&gt;=80000,Banking_Data_100_Records[[#This Row],[Balance]]&gt;=300000),"Yes","No")</f>
        <v>No</v>
      </c>
      <c r="AA26" s="13" t="str">
        <f>IF(OR(Banking_Data_100_Records[[#This Row],[Salary]]&gt;=80000,Banking_Data_100_Records[[#This Row],[Balance]]&gt;=500000),"Special offer","Not")</f>
        <v>Special offer</v>
      </c>
      <c r="AB26" s="13" t="str">
        <f>IF(OR(Banking_Data_100_Records[[#This Row],[Loan Amount]]&gt;1500000,Banking_Data_100_Records[[#This Row],[Credit Score]]&gt;800),"Priority customer","Not")</f>
        <v>Not</v>
      </c>
    </row>
    <row r="27" spans="1:28" x14ac:dyDescent="0.35">
      <c r="A27" s="1" t="s">
        <v>91</v>
      </c>
      <c r="B27" s="1" t="s">
        <v>92</v>
      </c>
      <c r="C27" s="1" t="s">
        <v>48</v>
      </c>
      <c r="D27" s="1" t="s">
        <v>21</v>
      </c>
      <c r="E27" s="1" t="s">
        <v>22</v>
      </c>
      <c r="F27">
        <v>48</v>
      </c>
      <c r="G27" s="1" t="s">
        <v>23</v>
      </c>
      <c r="H27">
        <v>1475000</v>
      </c>
      <c r="I27">
        <v>9.34</v>
      </c>
      <c r="J27">
        <v>36063.75</v>
      </c>
      <c r="K27">
        <v>51000</v>
      </c>
      <c r="L27">
        <v>888</v>
      </c>
      <c r="M27" s="1" t="s">
        <v>37</v>
      </c>
      <c r="N27" s="1" t="s">
        <v>31</v>
      </c>
      <c r="O27">
        <v>44500</v>
      </c>
      <c r="P27" s="2">
        <v>45809</v>
      </c>
      <c r="Q27">
        <v>796000</v>
      </c>
      <c r="R27" s="1" t="s">
        <v>26</v>
      </c>
      <c r="T27" s="5" t="str">
        <f>IF(AND(Banking_Data_100_Records[[#This Row],[Credit Score]]&gt;750,Banking_Data_100_Records[[#This Row],[Salary]]&gt;60000),"Eligible","Not Eligible")</f>
        <v>Not Eligible</v>
      </c>
      <c r="U27" s="5" t="str">
        <f>IF(Banking_Data_100_Records[[#This Row],[Balance]]&gt;500000,"High Balance","Normal Balance")</f>
        <v>High Balance</v>
      </c>
      <c r="V27" s="5" t="str">
        <f>IF(Banking_Data_100_Records[[#This Row],[Loan Amount]]&gt;1000000,"High Value Customer","Regular Customer")</f>
        <v>High Value Customer</v>
      </c>
      <c r="W27" s="8" t="str">
        <v>Excellent</v>
      </c>
      <c r="X27" s="8" t="str">
        <v>Silver</v>
      </c>
      <c r="Y27" s="9" t="str">
        <f>IF(AND(Banking_Data_100_Records[[#This Row],[Loan Status]]="Approved",Banking_Data_100_Records[[#This Row],[Credit Score]]&gt;=700)," Eligible","Not")</f>
        <v xml:space="preserve"> Eligible</v>
      </c>
      <c r="Z27" s="9" t="str">
        <f>IF(AND(Banking_Data_100_Records[[#This Row],[Salary]]&gt;=80000,Banking_Data_100_Records[[#This Row],[Balance]]&gt;=300000),"Yes","No")</f>
        <v>No</v>
      </c>
      <c r="AA27" s="13" t="str">
        <f>IF(OR(Banking_Data_100_Records[[#This Row],[Salary]]&gt;=80000,Banking_Data_100_Records[[#This Row],[Balance]]&gt;=500000),"Special offer","Not")</f>
        <v>Special offer</v>
      </c>
      <c r="AB27" s="13" t="str">
        <f>IF(OR(Banking_Data_100_Records[[#This Row],[Loan Amount]]&gt;1500000,Banking_Data_100_Records[[#This Row],[Credit Score]]&gt;800),"Priority customer","Not")</f>
        <v>Priority customer</v>
      </c>
    </row>
    <row r="28" spans="1:28" x14ac:dyDescent="0.35">
      <c r="A28" s="1" t="s">
        <v>93</v>
      </c>
      <c r="B28" s="1" t="s">
        <v>53</v>
      </c>
      <c r="C28" s="1" t="s">
        <v>71</v>
      </c>
      <c r="D28" s="1" t="s">
        <v>21</v>
      </c>
      <c r="E28" s="1" t="s">
        <v>22</v>
      </c>
      <c r="F28">
        <v>43</v>
      </c>
      <c r="G28" s="1" t="s">
        <v>23</v>
      </c>
      <c r="H28">
        <v>890000</v>
      </c>
      <c r="I28">
        <v>8.4</v>
      </c>
      <c r="J28">
        <v>21063.33</v>
      </c>
      <c r="K28">
        <v>107000</v>
      </c>
      <c r="L28">
        <v>622</v>
      </c>
      <c r="M28" s="1" t="s">
        <v>24</v>
      </c>
      <c r="N28" s="1" t="s">
        <v>44</v>
      </c>
      <c r="O28">
        <v>137000</v>
      </c>
      <c r="P28" s="2">
        <v>45948</v>
      </c>
      <c r="Q28">
        <v>417000</v>
      </c>
      <c r="R28" s="1" t="s">
        <v>45</v>
      </c>
      <c r="T28" s="5" t="str">
        <f>IF(AND(Banking_Data_100_Records[[#This Row],[Credit Score]]&gt;750,Banking_Data_100_Records[[#This Row],[Salary]]&gt;60000),"Eligible","Not Eligible")</f>
        <v>Not Eligible</v>
      </c>
      <c r="U28" s="5" t="str">
        <f>IF(Banking_Data_100_Records[[#This Row],[Balance]]&gt;500000,"High Balance","Normal Balance")</f>
        <v>Normal Balance</v>
      </c>
      <c r="V28" s="5" t="str">
        <f>IF(Banking_Data_100_Records[[#This Row],[Loan Amount]]&gt;1000000,"High Value Customer","Regular Customer")</f>
        <v>Regular Customer</v>
      </c>
      <c r="W28" s="8" t="str">
        <v>Average</v>
      </c>
      <c r="X28" s="8" t="str">
        <v>Platinum</v>
      </c>
      <c r="Y28" s="9" t="str">
        <f>IF(AND(Banking_Data_100_Records[[#This Row],[Loan Status]]="Approved",Banking_Data_100_Records[[#This Row],[Credit Score]]&gt;=700)," Eligible","Not")</f>
        <v>Not</v>
      </c>
      <c r="Z28" s="9" t="str">
        <f>IF(AND(Banking_Data_100_Records[[#This Row],[Salary]]&gt;=80000,Banking_Data_100_Records[[#This Row],[Balance]]&gt;=300000),"Yes","No")</f>
        <v>Yes</v>
      </c>
      <c r="AA28" s="13" t="str">
        <f>IF(OR(Banking_Data_100_Records[[#This Row],[Salary]]&gt;=80000,Banking_Data_100_Records[[#This Row],[Balance]]&gt;=500000),"Special offer","Not")</f>
        <v>Special offer</v>
      </c>
      <c r="AB28" s="13" t="str">
        <f>IF(OR(Banking_Data_100_Records[[#This Row],[Loan Amount]]&gt;1500000,Banking_Data_100_Records[[#This Row],[Credit Score]]&gt;800),"Priority customer","Not")</f>
        <v>Not</v>
      </c>
    </row>
    <row r="29" spans="1:28" x14ac:dyDescent="0.35">
      <c r="A29" s="1" t="s">
        <v>94</v>
      </c>
      <c r="B29" s="1" t="s">
        <v>95</v>
      </c>
      <c r="C29" s="1" t="s">
        <v>20</v>
      </c>
      <c r="D29" s="1" t="s">
        <v>29</v>
      </c>
      <c r="E29" s="1" t="s">
        <v>54</v>
      </c>
      <c r="F29">
        <v>58</v>
      </c>
      <c r="G29" s="1" t="s">
        <v>41</v>
      </c>
      <c r="H29">
        <v>935000</v>
      </c>
      <c r="I29">
        <v>12.23</v>
      </c>
      <c r="J29">
        <v>25112.54</v>
      </c>
      <c r="K29">
        <v>63000</v>
      </c>
      <c r="L29">
        <v>368</v>
      </c>
      <c r="M29" s="1" t="s">
        <v>30</v>
      </c>
      <c r="N29" s="1" t="s">
        <v>25</v>
      </c>
      <c r="O29">
        <v>109000</v>
      </c>
      <c r="P29" s="2">
        <v>45889</v>
      </c>
      <c r="Q29">
        <v>188000</v>
      </c>
      <c r="R29" s="1" t="s">
        <v>60</v>
      </c>
      <c r="T29" s="5" t="str">
        <f>IF(AND(Banking_Data_100_Records[[#This Row],[Credit Score]]&gt;750,Banking_Data_100_Records[[#This Row],[Salary]]&gt;60000),"Eligible","Not Eligible")</f>
        <v>Not Eligible</v>
      </c>
      <c r="U29" s="5" t="str">
        <f>IF(Banking_Data_100_Records[[#This Row],[Balance]]&gt;500000,"High Balance","Normal Balance")</f>
        <v>Normal Balance</v>
      </c>
      <c r="V29" s="5" t="str">
        <f>IF(Banking_Data_100_Records[[#This Row],[Loan Amount]]&gt;1000000,"High Value Customer","Regular Customer")</f>
        <v>Regular Customer</v>
      </c>
      <c r="W29" s="8" t="str">
        <v>Poor</v>
      </c>
      <c r="X29" s="8" t="str">
        <v>Silver</v>
      </c>
      <c r="Y29" s="9" t="str">
        <f>IF(AND(Banking_Data_100_Records[[#This Row],[Loan Status]]="Approved",Banking_Data_100_Records[[#This Row],[Credit Score]]&gt;=700)," Eligible","Not")</f>
        <v>Not</v>
      </c>
      <c r="Z29" s="9" t="str">
        <f>IF(AND(Banking_Data_100_Records[[#This Row],[Salary]]&gt;=80000,Banking_Data_100_Records[[#This Row],[Balance]]&gt;=300000),"Yes","No")</f>
        <v>No</v>
      </c>
      <c r="AA29" s="13" t="str">
        <f>IF(OR(Banking_Data_100_Records[[#This Row],[Salary]]&gt;=80000,Banking_Data_100_Records[[#This Row],[Balance]]&gt;=500000),"Special offer","Not")</f>
        <v>Not</v>
      </c>
      <c r="AB29" s="13" t="str">
        <f>IF(OR(Banking_Data_100_Records[[#This Row],[Loan Amount]]&gt;1500000,Banking_Data_100_Records[[#This Row],[Credit Score]]&gt;800),"Priority customer","Not")</f>
        <v>Not</v>
      </c>
    </row>
    <row r="30" spans="1:28" x14ac:dyDescent="0.35">
      <c r="A30" s="1" t="s">
        <v>96</v>
      </c>
      <c r="B30" s="1" t="s">
        <v>97</v>
      </c>
      <c r="C30" s="1" t="s">
        <v>35</v>
      </c>
      <c r="D30" s="1" t="s">
        <v>29</v>
      </c>
      <c r="E30" s="1" t="s">
        <v>54</v>
      </c>
      <c r="F30">
        <v>45</v>
      </c>
      <c r="G30" s="1" t="s">
        <v>57</v>
      </c>
      <c r="H30">
        <v>305000</v>
      </c>
      <c r="I30">
        <v>13.51</v>
      </c>
      <c r="J30">
        <v>8517.1200000000008</v>
      </c>
      <c r="K30">
        <v>138000</v>
      </c>
      <c r="L30">
        <v>824</v>
      </c>
      <c r="M30" s="1" t="s">
        <v>37</v>
      </c>
      <c r="N30" s="1" t="s">
        <v>25</v>
      </c>
      <c r="O30">
        <v>100500</v>
      </c>
      <c r="P30" s="2">
        <v>45805</v>
      </c>
      <c r="Q30">
        <v>283000</v>
      </c>
      <c r="R30" s="1" t="s">
        <v>32</v>
      </c>
      <c r="T30" s="5" t="str">
        <f>IF(AND(Banking_Data_100_Records[[#This Row],[Credit Score]]&gt;750,Banking_Data_100_Records[[#This Row],[Salary]]&gt;60000),"Eligible","Not Eligible")</f>
        <v>Eligible</v>
      </c>
      <c r="U30" s="5" t="str">
        <f>IF(Banking_Data_100_Records[[#This Row],[Balance]]&gt;500000,"High Balance","Normal Balance")</f>
        <v>Normal Balance</v>
      </c>
      <c r="V30" s="5" t="str">
        <f>IF(Banking_Data_100_Records[[#This Row],[Loan Amount]]&gt;1000000,"High Value Customer","Regular Customer")</f>
        <v>Regular Customer</v>
      </c>
      <c r="W30" s="8" t="str">
        <v>Excellent</v>
      </c>
      <c r="X30" s="8" t="str">
        <v>Platinum</v>
      </c>
      <c r="Y30" s="9" t="str">
        <f>IF(AND(Banking_Data_100_Records[[#This Row],[Loan Status]]="Approved",Banking_Data_100_Records[[#This Row],[Credit Score]]&gt;=700)," Eligible","Not")</f>
        <v xml:space="preserve"> Eligible</v>
      </c>
      <c r="Z30" s="9" t="str">
        <f>IF(AND(Banking_Data_100_Records[[#This Row],[Salary]]&gt;=80000,Banking_Data_100_Records[[#This Row],[Balance]]&gt;=300000),"Yes","No")</f>
        <v>No</v>
      </c>
      <c r="AA30" s="13" t="str">
        <f>IF(OR(Banking_Data_100_Records[[#This Row],[Salary]]&gt;=80000,Banking_Data_100_Records[[#This Row],[Balance]]&gt;=500000),"Special offer","Not")</f>
        <v>Special offer</v>
      </c>
      <c r="AB30" s="13" t="str">
        <f>IF(OR(Banking_Data_100_Records[[#This Row],[Loan Amount]]&gt;1500000,Banking_Data_100_Records[[#This Row],[Credit Score]]&gt;800),"Priority customer","Not")</f>
        <v>Priority customer</v>
      </c>
    </row>
    <row r="31" spans="1:28" x14ac:dyDescent="0.35">
      <c r="A31" s="1" t="s">
        <v>98</v>
      </c>
      <c r="B31" s="1" t="s">
        <v>99</v>
      </c>
      <c r="C31" s="1" t="s">
        <v>35</v>
      </c>
      <c r="D31" s="1" t="s">
        <v>21</v>
      </c>
      <c r="E31" s="1" t="s">
        <v>22</v>
      </c>
      <c r="F31">
        <v>40</v>
      </c>
      <c r="G31" s="1" t="s">
        <v>57</v>
      </c>
      <c r="H31">
        <v>1925000</v>
      </c>
      <c r="I31">
        <v>11.8</v>
      </c>
      <c r="J31">
        <v>51012.5</v>
      </c>
      <c r="K31">
        <v>96000</v>
      </c>
      <c r="L31">
        <v>695</v>
      </c>
      <c r="M31" s="1" t="s">
        <v>37</v>
      </c>
      <c r="N31" s="1" t="s">
        <v>31</v>
      </c>
      <c r="O31">
        <v>159000</v>
      </c>
      <c r="P31" s="2">
        <v>45828</v>
      </c>
      <c r="Q31">
        <v>405000</v>
      </c>
      <c r="R31" s="1" t="s">
        <v>51</v>
      </c>
      <c r="T31" s="5" t="str">
        <f>IF(AND(Banking_Data_100_Records[[#This Row],[Credit Score]]&gt;750,Banking_Data_100_Records[[#This Row],[Salary]]&gt;60000),"Eligible","Not Eligible")</f>
        <v>Not Eligible</v>
      </c>
      <c r="U31" s="5" t="str">
        <f>IF(Banking_Data_100_Records[[#This Row],[Balance]]&gt;500000,"High Balance","Normal Balance")</f>
        <v>Normal Balance</v>
      </c>
      <c r="V31" s="5" t="str">
        <f>IF(Banking_Data_100_Records[[#This Row],[Loan Amount]]&gt;1000000,"High Value Customer","Regular Customer")</f>
        <v>High Value Customer</v>
      </c>
      <c r="W31" s="8" t="str">
        <v>Average</v>
      </c>
      <c r="X31" s="8" t="str">
        <v>Gold</v>
      </c>
      <c r="Y31" s="9" t="str">
        <f>IF(AND(Banking_Data_100_Records[[#This Row],[Loan Status]]="Approved",Banking_Data_100_Records[[#This Row],[Credit Score]]&gt;=700)," Eligible","Not")</f>
        <v>Not</v>
      </c>
      <c r="Z31" s="9" t="str">
        <f>IF(AND(Banking_Data_100_Records[[#This Row],[Salary]]&gt;=80000,Banking_Data_100_Records[[#This Row],[Balance]]&gt;=300000),"Yes","No")</f>
        <v>Yes</v>
      </c>
      <c r="AA31" s="13" t="str">
        <f>IF(OR(Banking_Data_100_Records[[#This Row],[Salary]]&gt;=80000,Banking_Data_100_Records[[#This Row],[Balance]]&gt;=500000),"Special offer","Not")</f>
        <v>Special offer</v>
      </c>
      <c r="AB31" s="13" t="str">
        <f>IF(OR(Banking_Data_100_Records[[#This Row],[Loan Amount]]&gt;1500000,Banking_Data_100_Records[[#This Row],[Credit Score]]&gt;800),"Priority customer","Not")</f>
        <v>Priority customer</v>
      </c>
    </row>
    <row r="32" spans="1:28" x14ac:dyDescent="0.35">
      <c r="A32" s="1" t="s">
        <v>100</v>
      </c>
      <c r="B32" s="1" t="s">
        <v>101</v>
      </c>
      <c r="C32" s="1" t="s">
        <v>71</v>
      </c>
      <c r="D32" s="1" t="s">
        <v>29</v>
      </c>
      <c r="E32" s="1" t="s">
        <v>22</v>
      </c>
      <c r="F32">
        <v>22</v>
      </c>
      <c r="G32" s="1" t="s">
        <v>41</v>
      </c>
      <c r="H32">
        <v>1025000</v>
      </c>
      <c r="I32">
        <v>8.94</v>
      </c>
      <c r="J32">
        <v>24719.58</v>
      </c>
      <c r="K32">
        <v>88000</v>
      </c>
      <c r="L32">
        <v>456</v>
      </c>
      <c r="M32" s="1" t="s">
        <v>24</v>
      </c>
      <c r="N32" s="1" t="s">
        <v>44</v>
      </c>
      <c r="O32">
        <v>12500</v>
      </c>
      <c r="P32" s="2">
        <v>45795</v>
      </c>
      <c r="Q32">
        <v>667000</v>
      </c>
      <c r="R32" s="1" t="s">
        <v>32</v>
      </c>
      <c r="T32" s="5" t="str">
        <f>IF(AND(Banking_Data_100_Records[[#This Row],[Credit Score]]&gt;750,Banking_Data_100_Records[[#This Row],[Salary]]&gt;60000),"Eligible","Not Eligible")</f>
        <v>Not Eligible</v>
      </c>
      <c r="U32" s="5" t="str">
        <f>IF(Banking_Data_100_Records[[#This Row],[Balance]]&gt;500000,"High Balance","Normal Balance")</f>
        <v>High Balance</v>
      </c>
      <c r="V32" s="5" t="str">
        <f>IF(Banking_Data_100_Records[[#This Row],[Loan Amount]]&gt;1000000,"High Value Customer","Regular Customer")</f>
        <v>High Value Customer</v>
      </c>
      <c r="W32" s="8" t="str">
        <v>Poor</v>
      </c>
      <c r="X32" s="8" t="str">
        <v>Gold</v>
      </c>
      <c r="Y32" s="9" t="str">
        <f>IF(AND(Banking_Data_100_Records[[#This Row],[Loan Status]]="Approved",Banking_Data_100_Records[[#This Row],[Credit Score]]&gt;=700)," Eligible","Not")</f>
        <v>Not</v>
      </c>
      <c r="Z32" s="9" t="str">
        <f>IF(AND(Banking_Data_100_Records[[#This Row],[Salary]]&gt;=80000,Banking_Data_100_Records[[#This Row],[Balance]]&gt;=300000),"Yes","No")</f>
        <v>Yes</v>
      </c>
      <c r="AA32" s="13" t="str">
        <f>IF(OR(Banking_Data_100_Records[[#This Row],[Salary]]&gt;=80000,Banking_Data_100_Records[[#This Row],[Balance]]&gt;=500000),"Special offer","Not")</f>
        <v>Special offer</v>
      </c>
      <c r="AB32" s="13" t="str">
        <f>IF(OR(Banking_Data_100_Records[[#This Row],[Loan Amount]]&gt;1500000,Banking_Data_100_Records[[#This Row],[Credit Score]]&gt;800),"Priority customer","Not")</f>
        <v>Not</v>
      </c>
    </row>
    <row r="33" spans="1:28" x14ac:dyDescent="0.35">
      <c r="A33" s="1" t="s">
        <v>102</v>
      </c>
      <c r="B33" s="1" t="s">
        <v>103</v>
      </c>
      <c r="C33" s="1" t="s">
        <v>20</v>
      </c>
      <c r="D33" s="1" t="s">
        <v>21</v>
      </c>
      <c r="E33" s="1" t="s">
        <v>22</v>
      </c>
      <c r="F33">
        <v>44</v>
      </c>
      <c r="G33" s="1" t="s">
        <v>36</v>
      </c>
      <c r="H33">
        <v>350000</v>
      </c>
      <c r="I33">
        <v>8.66</v>
      </c>
      <c r="J33">
        <v>8359.17</v>
      </c>
      <c r="K33">
        <v>47000</v>
      </c>
      <c r="L33">
        <v>889</v>
      </c>
      <c r="M33" s="1" t="s">
        <v>37</v>
      </c>
      <c r="N33" s="1" t="s">
        <v>31</v>
      </c>
      <c r="O33">
        <v>134000</v>
      </c>
      <c r="P33" s="2">
        <v>45846</v>
      </c>
      <c r="Q33">
        <v>283000</v>
      </c>
      <c r="R33" s="1" t="s">
        <v>26</v>
      </c>
      <c r="T33" s="5" t="str">
        <f>IF(AND(Banking_Data_100_Records[[#This Row],[Credit Score]]&gt;750,Banking_Data_100_Records[[#This Row],[Salary]]&gt;60000),"Eligible","Not Eligible")</f>
        <v>Not Eligible</v>
      </c>
      <c r="U33" s="5" t="str">
        <f>IF(Banking_Data_100_Records[[#This Row],[Balance]]&gt;500000,"High Balance","Normal Balance")</f>
        <v>Normal Balance</v>
      </c>
      <c r="V33" s="5" t="str">
        <f>IF(Banking_Data_100_Records[[#This Row],[Loan Amount]]&gt;1000000,"High Value Customer","Regular Customer")</f>
        <v>Regular Customer</v>
      </c>
      <c r="W33" s="8" t="str">
        <v>Excellent</v>
      </c>
      <c r="X33" s="8" t="str">
        <v>Silver</v>
      </c>
      <c r="Y33" s="9" t="str">
        <f>IF(AND(Banking_Data_100_Records[[#This Row],[Loan Status]]="Approved",Banking_Data_100_Records[[#This Row],[Credit Score]]&gt;=700)," Eligible","Not")</f>
        <v xml:space="preserve"> Eligible</v>
      </c>
      <c r="Z33" s="9" t="str">
        <f>IF(AND(Banking_Data_100_Records[[#This Row],[Salary]]&gt;=80000,Banking_Data_100_Records[[#This Row],[Balance]]&gt;=300000),"Yes","No")</f>
        <v>No</v>
      </c>
      <c r="AA33" s="13" t="str">
        <f>IF(OR(Banking_Data_100_Records[[#This Row],[Salary]]&gt;=80000,Banking_Data_100_Records[[#This Row],[Balance]]&gt;=500000),"Special offer","Not")</f>
        <v>Not</v>
      </c>
      <c r="AB33" s="13" t="str">
        <f>IF(OR(Banking_Data_100_Records[[#This Row],[Loan Amount]]&gt;1500000,Banking_Data_100_Records[[#This Row],[Credit Score]]&gt;800),"Priority customer","Not")</f>
        <v>Priority customer</v>
      </c>
    </row>
    <row r="34" spans="1:28" x14ac:dyDescent="0.35">
      <c r="A34" s="1" t="s">
        <v>104</v>
      </c>
      <c r="B34" s="1" t="s">
        <v>105</v>
      </c>
      <c r="C34" s="1" t="s">
        <v>35</v>
      </c>
      <c r="D34" s="1" t="s">
        <v>21</v>
      </c>
      <c r="E34" s="1" t="s">
        <v>22</v>
      </c>
      <c r="F34">
        <v>60</v>
      </c>
      <c r="G34" s="1" t="s">
        <v>57</v>
      </c>
      <c r="H34">
        <v>1795000</v>
      </c>
      <c r="I34">
        <v>10.7</v>
      </c>
      <c r="J34">
        <v>45922.080000000002</v>
      </c>
      <c r="K34">
        <v>83000</v>
      </c>
      <c r="L34">
        <v>660</v>
      </c>
      <c r="M34" s="1" t="s">
        <v>24</v>
      </c>
      <c r="N34" s="1" t="s">
        <v>44</v>
      </c>
      <c r="O34">
        <v>20000</v>
      </c>
      <c r="P34" s="2">
        <v>45761</v>
      </c>
      <c r="Q34">
        <v>878000</v>
      </c>
      <c r="R34" s="1" t="s">
        <v>60</v>
      </c>
      <c r="T34" s="5" t="str">
        <f>IF(AND(Banking_Data_100_Records[[#This Row],[Credit Score]]&gt;750,Banking_Data_100_Records[[#This Row],[Salary]]&gt;60000),"Eligible","Not Eligible")</f>
        <v>Not Eligible</v>
      </c>
      <c r="U34" s="5" t="str">
        <f>IF(Banking_Data_100_Records[[#This Row],[Balance]]&gt;500000,"High Balance","Normal Balance")</f>
        <v>High Balance</v>
      </c>
      <c r="V34" s="5" t="str">
        <f>IF(Banking_Data_100_Records[[#This Row],[Loan Amount]]&gt;1000000,"High Value Customer","Regular Customer")</f>
        <v>High Value Customer</v>
      </c>
      <c r="W34" s="8" t="str">
        <v>Average</v>
      </c>
      <c r="X34" s="8" t="str">
        <v>Gold</v>
      </c>
      <c r="Y34" s="9" t="str">
        <f>IF(AND(Banking_Data_100_Records[[#This Row],[Loan Status]]="Approved",Banking_Data_100_Records[[#This Row],[Credit Score]]&gt;=700)," Eligible","Not")</f>
        <v>Not</v>
      </c>
      <c r="Z34" s="9" t="str">
        <f>IF(AND(Banking_Data_100_Records[[#This Row],[Salary]]&gt;=80000,Banking_Data_100_Records[[#This Row],[Balance]]&gt;=300000),"Yes","No")</f>
        <v>Yes</v>
      </c>
      <c r="AA34" s="13" t="str">
        <f>IF(OR(Banking_Data_100_Records[[#This Row],[Salary]]&gt;=80000,Banking_Data_100_Records[[#This Row],[Balance]]&gt;=500000),"Special offer","Not")</f>
        <v>Special offer</v>
      </c>
      <c r="AB34" s="13" t="str">
        <f>IF(OR(Banking_Data_100_Records[[#This Row],[Loan Amount]]&gt;1500000,Banking_Data_100_Records[[#This Row],[Credit Score]]&gt;800),"Priority customer","Not")</f>
        <v>Priority customer</v>
      </c>
    </row>
    <row r="35" spans="1:28" x14ac:dyDescent="0.35">
      <c r="A35" s="1" t="s">
        <v>106</v>
      </c>
      <c r="B35" s="1" t="s">
        <v>107</v>
      </c>
      <c r="C35" s="1" t="s">
        <v>40</v>
      </c>
      <c r="D35" s="1" t="s">
        <v>29</v>
      </c>
      <c r="E35" s="1" t="s">
        <v>54</v>
      </c>
      <c r="F35">
        <v>36</v>
      </c>
      <c r="G35" s="1" t="s">
        <v>23</v>
      </c>
      <c r="H35">
        <v>865000</v>
      </c>
      <c r="I35">
        <v>7.38</v>
      </c>
      <c r="J35">
        <v>19736.419999999998</v>
      </c>
      <c r="K35">
        <v>95000</v>
      </c>
      <c r="L35">
        <v>710</v>
      </c>
      <c r="M35" s="1" t="s">
        <v>24</v>
      </c>
      <c r="N35" s="1" t="s">
        <v>31</v>
      </c>
      <c r="O35">
        <v>24000</v>
      </c>
      <c r="P35" s="2">
        <v>45735</v>
      </c>
      <c r="Q35">
        <v>998000</v>
      </c>
      <c r="R35" s="1" t="s">
        <v>26</v>
      </c>
      <c r="T35" s="5" t="str">
        <f>IF(AND(Banking_Data_100_Records[[#This Row],[Credit Score]]&gt;750,Banking_Data_100_Records[[#This Row],[Salary]]&gt;60000),"Eligible","Not Eligible")</f>
        <v>Not Eligible</v>
      </c>
      <c r="U35" s="5" t="str">
        <f>IF(Banking_Data_100_Records[[#This Row],[Balance]]&gt;500000,"High Balance","Normal Balance")</f>
        <v>High Balance</v>
      </c>
      <c r="V35" s="5" t="str">
        <f>IF(Banking_Data_100_Records[[#This Row],[Loan Amount]]&gt;1000000,"High Value Customer","Regular Customer")</f>
        <v>Regular Customer</v>
      </c>
      <c r="W35" s="8" t="str">
        <v>Good</v>
      </c>
      <c r="X35" s="8" t="str">
        <v>Gold</v>
      </c>
      <c r="Y35" s="9" t="str">
        <f>IF(AND(Banking_Data_100_Records[[#This Row],[Loan Status]]="Approved",Banking_Data_100_Records[[#This Row],[Credit Score]]&gt;=700)," Eligible","Not")</f>
        <v>Not</v>
      </c>
      <c r="Z35" s="9" t="str">
        <f>IF(AND(Banking_Data_100_Records[[#This Row],[Salary]]&gt;=80000,Banking_Data_100_Records[[#This Row],[Balance]]&gt;=300000),"Yes","No")</f>
        <v>Yes</v>
      </c>
      <c r="AA35" s="13" t="str">
        <f>IF(OR(Banking_Data_100_Records[[#This Row],[Salary]]&gt;=80000,Banking_Data_100_Records[[#This Row],[Balance]]&gt;=500000),"Special offer","Not")</f>
        <v>Special offer</v>
      </c>
      <c r="AB35" s="13" t="str">
        <f>IF(OR(Banking_Data_100_Records[[#This Row],[Loan Amount]]&gt;1500000,Banking_Data_100_Records[[#This Row],[Credit Score]]&gt;800),"Priority customer","Not")</f>
        <v>Not</v>
      </c>
    </row>
    <row r="36" spans="1:28" x14ac:dyDescent="0.35">
      <c r="A36" s="1" t="s">
        <v>108</v>
      </c>
      <c r="B36" s="1" t="s">
        <v>109</v>
      </c>
      <c r="C36" s="1" t="s">
        <v>35</v>
      </c>
      <c r="D36" s="1" t="s">
        <v>21</v>
      </c>
      <c r="E36" s="1" t="s">
        <v>22</v>
      </c>
      <c r="F36">
        <v>24</v>
      </c>
      <c r="G36" s="1" t="s">
        <v>41</v>
      </c>
      <c r="H36">
        <v>940000</v>
      </c>
      <c r="I36">
        <v>11.12</v>
      </c>
      <c r="J36">
        <v>24377.33</v>
      </c>
      <c r="K36">
        <v>69000</v>
      </c>
      <c r="L36">
        <v>573</v>
      </c>
      <c r="M36" s="1" t="s">
        <v>24</v>
      </c>
      <c r="N36" s="1" t="s">
        <v>44</v>
      </c>
      <c r="O36">
        <v>121000</v>
      </c>
      <c r="P36" s="2">
        <v>46014</v>
      </c>
      <c r="Q36">
        <v>700000</v>
      </c>
      <c r="R36" s="1" t="s">
        <v>32</v>
      </c>
      <c r="T36" s="5" t="str">
        <f>IF(AND(Banking_Data_100_Records[[#This Row],[Credit Score]]&gt;750,Banking_Data_100_Records[[#This Row],[Salary]]&gt;60000),"Eligible","Not Eligible")</f>
        <v>Not Eligible</v>
      </c>
      <c r="U36" s="5" t="str">
        <f>IF(Banking_Data_100_Records[[#This Row],[Balance]]&gt;500000,"High Balance","Normal Balance")</f>
        <v>High Balance</v>
      </c>
      <c r="V36" s="5" t="str">
        <f>IF(Banking_Data_100_Records[[#This Row],[Loan Amount]]&gt;1000000,"High Value Customer","Regular Customer")</f>
        <v>Regular Customer</v>
      </c>
      <c r="W36" s="8" t="str">
        <v>Poor</v>
      </c>
      <c r="X36" s="8" t="str">
        <v>Silver</v>
      </c>
      <c r="Y36" s="9" t="str">
        <f>IF(AND(Banking_Data_100_Records[[#This Row],[Loan Status]]="Approved",Banking_Data_100_Records[[#This Row],[Credit Score]]&gt;=700)," Eligible","Not")</f>
        <v>Not</v>
      </c>
      <c r="Z36" s="9" t="str">
        <f>IF(AND(Banking_Data_100_Records[[#This Row],[Salary]]&gt;=80000,Banking_Data_100_Records[[#This Row],[Balance]]&gt;=300000),"Yes","No")</f>
        <v>No</v>
      </c>
      <c r="AA36" s="13" t="str">
        <f>IF(OR(Banking_Data_100_Records[[#This Row],[Salary]]&gt;=80000,Banking_Data_100_Records[[#This Row],[Balance]]&gt;=500000),"Special offer","Not")</f>
        <v>Special offer</v>
      </c>
      <c r="AB36" s="13" t="str">
        <f>IF(OR(Banking_Data_100_Records[[#This Row],[Loan Amount]]&gt;1500000,Banking_Data_100_Records[[#This Row],[Credit Score]]&gt;800),"Priority customer","Not")</f>
        <v>Not</v>
      </c>
    </row>
    <row r="37" spans="1:28" x14ac:dyDescent="0.35">
      <c r="A37" s="1" t="s">
        <v>110</v>
      </c>
      <c r="B37" s="1" t="s">
        <v>111</v>
      </c>
      <c r="C37" s="1" t="s">
        <v>35</v>
      </c>
      <c r="D37" s="1" t="s">
        <v>21</v>
      </c>
      <c r="E37" s="1" t="s">
        <v>22</v>
      </c>
      <c r="F37">
        <v>53</v>
      </c>
      <c r="G37" s="1" t="s">
        <v>36</v>
      </c>
      <c r="H37">
        <v>835000</v>
      </c>
      <c r="I37">
        <v>12.6</v>
      </c>
      <c r="J37">
        <v>22684.17</v>
      </c>
      <c r="K37">
        <v>133000</v>
      </c>
      <c r="L37">
        <v>590</v>
      </c>
      <c r="M37" s="1" t="s">
        <v>24</v>
      </c>
      <c r="N37" s="1" t="s">
        <v>25</v>
      </c>
      <c r="O37">
        <v>59000</v>
      </c>
      <c r="P37" s="2">
        <v>45758</v>
      </c>
      <c r="Q37">
        <v>525000</v>
      </c>
      <c r="R37" s="1" t="s">
        <v>51</v>
      </c>
      <c r="T37" s="5" t="str">
        <f>IF(AND(Banking_Data_100_Records[[#This Row],[Credit Score]]&gt;750,Banking_Data_100_Records[[#This Row],[Salary]]&gt;60000),"Eligible","Not Eligible")</f>
        <v>Not Eligible</v>
      </c>
      <c r="U37" s="5" t="str">
        <f>IF(Banking_Data_100_Records[[#This Row],[Balance]]&gt;500000,"High Balance","Normal Balance")</f>
        <v>High Balance</v>
      </c>
      <c r="V37" s="5" t="str">
        <f>IF(Banking_Data_100_Records[[#This Row],[Loan Amount]]&gt;1000000,"High Value Customer","Regular Customer")</f>
        <v>Regular Customer</v>
      </c>
      <c r="W37" s="8" t="str">
        <v>Poor</v>
      </c>
      <c r="X37" s="8" t="str">
        <v>Platinum</v>
      </c>
      <c r="Y37" s="9" t="str">
        <f>IF(AND(Banking_Data_100_Records[[#This Row],[Loan Status]]="Approved",Banking_Data_100_Records[[#This Row],[Credit Score]]&gt;=700)," Eligible","Not")</f>
        <v>Not</v>
      </c>
      <c r="Z37" s="9" t="str">
        <f>IF(AND(Banking_Data_100_Records[[#This Row],[Salary]]&gt;=80000,Banking_Data_100_Records[[#This Row],[Balance]]&gt;=300000),"Yes","No")</f>
        <v>Yes</v>
      </c>
      <c r="AA37" s="13" t="str">
        <f>IF(OR(Banking_Data_100_Records[[#This Row],[Salary]]&gt;=80000,Banking_Data_100_Records[[#This Row],[Balance]]&gt;=500000),"Special offer","Not")</f>
        <v>Special offer</v>
      </c>
      <c r="AB37" s="13" t="str">
        <f>IF(OR(Banking_Data_100_Records[[#This Row],[Loan Amount]]&gt;1500000,Banking_Data_100_Records[[#This Row],[Credit Score]]&gt;800),"Priority customer","Not")</f>
        <v>Not</v>
      </c>
    </row>
    <row r="38" spans="1:28" x14ac:dyDescent="0.35">
      <c r="A38" s="1" t="s">
        <v>112</v>
      </c>
      <c r="B38" s="1" t="s">
        <v>95</v>
      </c>
      <c r="C38" s="1" t="s">
        <v>40</v>
      </c>
      <c r="D38" s="1" t="s">
        <v>21</v>
      </c>
      <c r="E38" s="1" t="s">
        <v>54</v>
      </c>
      <c r="F38">
        <v>30</v>
      </c>
      <c r="G38" s="1" t="s">
        <v>41</v>
      </c>
      <c r="H38">
        <v>1230000</v>
      </c>
      <c r="I38">
        <v>13.4</v>
      </c>
      <c r="J38">
        <v>34235</v>
      </c>
      <c r="K38">
        <v>42000</v>
      </c>
      <c r="L38">
        <v>648</v>
      </c>
      <c r="M38" s="1" t="s">
        <v>24</v>
      </c>
      <c r="N38" s="1" t="s">
        <v>44</v>
      </c>
      <c r="O38">
        <v>77500</v>
      </c>
      <c r="P38" s="2">
        <v>45877</v>
      </c>
      <c r="Q38">
        <v>442000</v>
      </c>
      <c r="R38" s="1" t="s">
        <v>32</v>
      </c>
      <c r="T38" s="5" t="str">
        <f>IF(AND(Banking_Data_100_Records[[#This Row],[Credit Score]]&gt;750,Banking_Data_100_Records[[#This Row],[Salary]]&gt;60000),"Eligible","Not Eligible")</f>
        <v>Not Eligible</v>
      </c>
      <c r="U38" s="5" t="str">
        <f>IF(Banking_Data_100_Records[[#This Row],[Balance]]&gt;500000,"High Balance","Normal Balance")</f>
        <v>Normal Balance</v>
      </c>
      <c r="V38" s="5" t="str">
        <f>IF(Banking_Data_100_Records[[#This Row],[Loan Amount]]&gt;1000000,"High Value Customer","Regular Customer")</f>
        <v>High Value Customer</v>
      </c>
      <c r="W38" s="8" t="str">
        <v>Average</v>
      </c>
      <c r="X38" s="8" t="str">
        <v>Silver</v>
      </c>
      <c r="Y38" s="9" t="str">
        <f>IF(AND(Banking_Data_100_Records[[#This Row],[Loan Status]]="Approved",Banking_Data_100_Records[[#This Row],[Credit Score]]&gt;=700)," Eligible","Not")</f>
        <v>Not</v>
      </c>
      <c r="Z38" s="9" t="str">
        <f>IF(AND(Banking_Data_100_Records[[#This Row],[Salary]]&gt;=80000,Banking_Data_100_Records[[#This Row],[Balance]]&gt;=300000),"Yes","No")</f>
        <v>No</v>
      </c>
      <c r="AA38" s="13" t="str">
        <f>IF(OR(Banking_Data_100_Records[[#This Row],[Salary]]&gt;=80000,Banking_Data_100_Records[[#This Row],[Balance]]&gt;=500000),"Special offer","Not")</f>
        <v>Not</v>
      </c>
      <c r="AB38" s="13" t="str">
        <f>IF(OR(Banking_Data_100_Records[[#This Row],[Loan Amount]]&gt;1500000,Banking_Data_100_Records[[#This Row],[Credit Score]]&gt;800),"Priority customer","Not")</f>
        <v>Not</v>
      </c>
    </row>
    <row r="39" spans="1:28" x14ac:dyDescent="0.35">
      <c r="A39" s="1" t="s">
        <v>113</v>
      </c>
      <c r="B39" s="1" t="s">
        <v>114</v>
      </c>
      <c r="C39" s="1" t="s">
        <v>48</v>
      </c>
      <c r="D39" s="1" t="s">
        <v>21</v>
      </c>
      <c r="E39" s="1" t="s">
        <v>22</v>
      </c>
      <c r="F39">
        <v>52</v>
      </c>
      <c r="G39" s="1" t="s">
        <v>41</v>
      </c>
      <c r="H39">
        <v>1220000</v>
      </c>
      <c r="I39">
        <v>12.92</v>
      </c>
      <c r="J39">
        <v>33468.67</v>
      </c>
      <c r="K39">
        <v>43000</v>
      </c>
      <c r="L39">
        <v>689</v>
      </c>
      <c r="M39" s="1" t="s">
        <v>37</v>
      </c>
      <c r="N39" s="1" t="s">
        <v>31</v>
      </c>
      <c r="O39">
        <v>14500</v>
      </c>
      <c r="P39" s="2">
        <v>45738</v>
      </c>
      <c r="Q39">
        <v>608000</v>
      </c>
      <c r="R39" s="1" t="s">
        <v>60</v>
      </c>
      <c r="T39" s="5" t="str">
        <f>IF(AND(Banking_Data_100_Records[[#This Row],[Credit Score]]&gt;750,Banking_Data_100_Records[[#This Row],[Salary]]&gt;60000),"Eligible","Not Eligible")</f>
        <v>Not Eligible</v>
      </c>
      <c r="U39" s="5" t="str">
        <f>IF(Banking_Data_100_Records[[#This Row],[Balance]]&gt;500000,"High Balance","Normal Balance")</f>
        <v>High Balance</v>
      </c>
      <c r="V39" s="5" t="str">
        <f>IF(Banking_Data_100_Records[[#This Row],[Loan Amount]]&gt;1000000,"High Value Customer","Regular Customer")</f>
        <v>High Value Customer</v>
      </c>
      <c r="W39" s="8" t="str">
        <v>Average</v>
      </c>
      <c r="X39" s="8" t="str">
        <v>Silver</v>
      </c>
      <c r="Y39" s="9" t="str">
        <f>IF(AND(Banking_Data_100_Records[[#This Row],[Loan Status]]="Approved",Banking_Data_100_Records[[#This Row],[Credit Score]]&gt;=700)," Eligible","Not")</f>
        <v>Not</v>
      </c>
      <c r="Z39" s="9" t="str">
        <f>IF(AND(Banking_Data_100_Records[[#This Row],[Salary]]&gt;=80000,Banking_Data_100_Records[[#This Row],[Balance]]&gt;=300000),"Yes","No")</f>
        <v>No</v>
      </c>
      <c r="AA39" s="13" t="str">
        <f>IF(OR(Banking_Data_100_Records[[#This Row],[Salary]]&gt;=80000,Banking_Data_100_Records[[#This Row],[Balance]]&gt;=500000),"Special offer","Not")</f>
        <v>Special offer</v>
      </c>
      <c r="AB39" s="13" t="str">
        <f>IF(OR(Banking_Data_100_Records[[#This Row],[Loan Amount]]&gt;1500000,Banking_Data_100_Records[[#This Row],[Credit Score]]&gt;800),"Priority customer","Not")</f>
        <v>Not</v>
      </c>
    </row>
    <row r="40" spans="1:28" x14ac:dyDescent="0.35">
      <c r="A40" s="1" t="s">
        <v>115</v>
      </c>
      <c r="B40" s="1" t="s">
        <v>116</v>
      </c>
      <c r="C40" s="1" t="s">
        <v>40</v>
      </c>
      <c r="D40" s="1" t="s">
        <v>29</v>
      </c>
      <c r="E40" s="1" t="s">
        <v>54</v>
      </c>
      <c r="F40">
        <v>31</v>
      </c>
      <c r="G40" s="1" t="s">
        <v>36</v>
      </c>
      <c r="H40">
        <v>1935000</v>
      </c>
      <c r="I40">
        <v>12.67</v>
      </c>
      <c r="J40">
        <v>52680.38</v>
      </c>
      <c r="K40">
        <v>36000</v>
      </c>
      <c r="L40">
        <v>848</v>
      </c>
      <c r="M40" s="1" t="s">
        <v>37</v>
      </c>
      <c r="N40" s="1" t="s">
        <v>44</v>
      </c>
      <c r="O40">
        <v>45500</v>
      </c>
      <c r="P40" s="2">
        <v>45979</v>
      </c>
      <c r="Q40">
        <v>669000</v>
      </c>
      <c r="R40" s="1" t="s">
        <v>45</v>
      </c>
      <c r="T40" s="5" t="str">
        <f>IF(AND(Banking_Data_100_Records[[#This Row],[Credit Score]]&gt;750,Banking_Data_100_Records[[#This Row],[Salary]]&gt;60000),"Eligible","Not Eligible")</f>
        <v>Not Eligible</v>
      </c>
      <c r="U40" s="5" t="str">
        <f>IF(Banking_Data_100_Records[[#This Row],[Balance]]&gt;500000,"High Balance","Normal Balance")</f>
        <v>High Balance</v>
      </c>
      <c r="V40" s="5" t="str">
        <f>IF(Banking_Data_100_Records[[#This Row],[Loan Amount]]&gt;1000000,"High Value Customer","Regular Customer")</f>
        <v>High Value Customer</v>
      </c>
      <c r="W40" s="8" t="str">
        <v>Excellent</v>
      </c>
      <c r="X40" s="8" t="str">
        <v>Bronze</v>
      </c>
      <c r="Y40" s="9" t="str">
        <f>IF(AND(Banking_Data_100_Records[[#This Row],[Loan Status]]="Approved",Banking_Data_100_Records[[#This Row],[Credit Score]]&gt;=700)," Eligible","Not")</f>
        <v xml:space="preserve"> Eligible</v>
      </c>
      <c r="Z40" s="9" t="str">
        <f>IF(AND(Banking_Data_100_Records[[#This Row],[Salary]]&gt;=80000,Banking_Data_100_Records[[#This Row],[Balance]]&gt;=300000),"Yes","No")</f>
        <v>No</v>
      </c>
      <c r="AA40" s="13" t="str">
        <f>IF(OR(Banking_Data_100_Records[[#This Row],[Salary]]&gt;=80000,Banking_Data_100_Records[[#This Row],[Balance]]&gt;=500000),"Special offer","Not")</f>
        <v>Special offer</v>
      </c>
      <c r="AB40" s="13" t="str">
        <f>IF(OR(Banking_Data_100_Records[[#This Row],[Loan Amount]]&gt;1500000,Banking_Data_100_Records[[#This Row],[Credit Score]]&gt;800),"Priority customer","Not")</f>
        <v>Priority customer</v>
      </c>
    </row>
    <row r="41" spans="1:28" x14ac:dyDescent="0.35">
      <c r="A41" s="1" t="s">
        <v>117</v>
      </c>
      <c r="B41" s="1" t="s">
        <v>95</v>
      </c>
      <c r="C41" s="1" t="s">
        <v>40</v>
      </c>
      <c r="D41" s="1" t="s">
        <v>29</v>
      </c>
      <c r="E41" s="1" t="s">
        <v>54</v>
      </c>
      <c r="F41">
        <v>25</v>
      </c>
      <c r="G41" s="1" t="s">
        <v>36</v>
      </c>
      <c r="H41">
        <v>555000</v>
      </c>
      <c r="I41">
        <v>7.49</v>
      </c>
      <c r="J41">
        <v>12714.12</v>
      </c>
      <c r="K41">
        <v>99000</v>
      </c>
      <c r="L41">
        <v>725</v>
      </c>
      <c r="M41" s="1" t="s">
        <v>24</v>
      </c>
      <c r="N41" s="1" t="s">
        <v>44</v>
      </c>
      <c r="O41">
        <v>34500</v>
      </c>
      <c r="P41" s="2">
        <v>46005</v>
      </c>
      <c r="Q41">
        <v>185000</v>
      </c>
      <c r="R41" s="1" t="s">
        <v>51</v>
      </c>
      <c r="T41" s="5" t="str">
        <f>IF(AND(Banking_Data_100_Records[[#This Row],[Credit Score]]&gt;750,Banking_Data_100_Records[[#This Row],[Salary]]&gt;60000),"Eligible","Not Eligible")</f>
        <v>Not Eligible</v>
      </c>
      <c r="U41" s="5" t="str">
        <f>IF(Banking_Data_100_Records[[#This Row],[Balance]]&gt;500000,"High Balance","Normal Balance")</f>
        <v>Normal Balance</v>
      </c>
      <c r="V41" s="5" t="str">
        <f>IF(Banking_Data_100_Records[[#This Row],[Loan Amount]]&gt;1000000,"High Value Customer","Regular Customer")</f>
        <v>Regular Customer</v>
      </c>
      <c r="W41" s="8" t="str">
        <v>Good</v>
      </c>
      <c r="X41" s="8" t="str">
        <v>Gold</v>
      </c>
      <c r="Y41" s="9" t="str">
        <f>IF(AND(Banking_Data_100_Records[[#This Row],[Loan Status]]="Approved",Banking_Data_100_Records[[#This Row],[Credit Score]]&gt;=700)," Eligible","Not")</f>
        <v>Not</v>
      </c>
      <c r="Z41" s="9" t="str">
        <f>IF(AND(Banking_Data_100_Records[[#This Row],[Salary]]&gt;=80000,Banking_Data_100_Records[[#This Row],[Balance]]&gt;=300000),"Yes","No")</f>
        <v>No</v>
      </c>
      <c r="AA41" s="13" t="str">
        <f>IF(OR(Banking_Data_100_Records[[#This Row],[Salary]]&gt;=80000,Banking_Data_100_Records[[#This Row],[Balance]]&gt;=500000),"Special offer","Not")</f>
        <v>Special offer</v>
      </c>
      <c r="AB41" s="13" t="str">
        <f>IF(OR(Banking_Data_100_Records[[#This Row],[Loan Amount]]&gt;1500000,Banking_Data_100_Records[[#This Row],[Credit Score]]&gt;800),"Priority customer","Not")</f>
        <v>Not</v>
      </c>
    </row>
    <row r="42" spans="1:28" x14ac:dyDescent="0.35">
      <c r="A42" s="1" t="s">
        <v>118</v>
      </c>
      <c r="B42" s="1" t="s">
        <v>119</v>
      </c>
      <c r="C42" s="1" t="s">
        <v>20</v>
      </c>
      <c r="D42" s="1" t="s">
        <v>29</v>
      </c>
      <c r="E42" s="1" t="s">
        <v>54</v>
      </c>
      <c r="F42">
        <v>30</v>
      </c>
      <c r="G42" s="1" t="s">
        <v>23</v>
      </c>
      <c r="H42">
        <v>655000</v>
      </c>
      <c r="I42">
        <v>12.49</v>
      </c>
      <c r="J42">
        <v>17734.12</v>
      </c>
      <c r="K42">
        <v>62000</v>
      </c>
      <c r="L42">
        <v>354</v>
      </c>
      <c r="M42" s="1" t="s">
        <v>30</v>
      </c>
      <c r="N42" s="1" t="s">
        <v>31</v>
      </c>
      <c r="O42">
        <v>113500</v>
      </c>
      <c r="P42" s="2">
        <v>45722</v>
      </c>
      <c r="Q42">
        <v>798000</v>
      </c>
      <c r="R42" s="1" t="s">
        <v>60</v>
      </c>
      <c r="T42" s="5" t="str">
        <f>IF(AND(Banking_Data_100_Records[[#This Row],[Credit Score]]&gt;750,Banking_Data_100_Records[[#This Row],[Salary]]&gt;60000),"Eligible","Not Eligible")</f>
        <v>Not Eligible</v>
      </c>
      <c r="U42" s="5" t="str">
        <f>IF(Banking_Data_100_Records[[#This Row],[Balance]]&gt;500000,"High Balance","Normal Balance")</f>
        <v>High Balance</v>
      </c>
      <c r="V42" s="5" t="str">
        <f>IF(Banking_Data_100_Records[[#This Row],[Loan Amount]]&gt;1000000,"High Value Customer","Regular Customer")</f>
        <v>Regular Customer</v>
      </c>
      <c r="W42" s="8" t="str">
        <v>Poor</v>
      </c>
      <c r="X42" s="8" t="str">
        <v>Silver</v>
      </c>
      <c r="Y42" s="9" t="str">
        <f>IF(AND(Banking_Data_100_Records[[#This Row],[Loan Status]]="Approved",Banking_Data_100_Records[[#This Row],[Credit Score]]&gt;=700)," Eligible","Not")</f>
        <v>Not</v>
      </c>
      <c r="Z42" s="9" t="str">
        <f>IF(AND(Banking_Data_100_Records[[#This Row],[Salary]]&gt;=80000,Banking_Data_100_Records[[#This Row],[Balance]]&gt;=300000),"Yes","No")</f>
        <v>No</v>
      </c>
      <c r="AA42" s="13" t="str">
        <f>IF(OR(Banking_Data_100_Records[[#This Row],[Salary]]&gt;=80000,Banking_Data_100_Records[[#This Row],[Balance]]&gt;=500000),"Special offer","Not")</f>
        <v>Special offer</v>
      </c>
      <c r="AB42" s="13" t="str">
        <f>IF(OR(Banking_Data_100_Records[[#This Row],[Loan Amount]]&gt;1500000,Banking_Data_100_Records[[#This Row],[Credit Score]]&gt;800),"Priority customer","Not")</f>
        <v>Not</v>
      </c>
    </row>
    <row r="43" spans="1:28" x14ac:dyDescent="0.35">
      <c r="A43" s="1" t="s">
        <v>120</v>
      </c>
      <c r="B43" s="1" t="s">
        <v>121</v>
      </c>
      <c r="C43" s="1" t="s">
        <v>48</v>
      </c>
      <c r="D43" s="1" t="s">
        <v>29</v>
      </c>
      <c r="E43" s="1" t="s">
        <v>54</v>
      </c>
      <c r="F43">
        <v>36</v>
      </c>
      <c r="G43" s="1" t="s">
        <v>36</v>
      </c>
      <c r="H43">
        <v>750000</v>
      </c>
      <c r="I43">
        <v>9.6</v>
      </c>
      <c r="J43">
        <v>18500</v>
      </c>
      <c r="K43">
        <v>23000</v>
      </c>
      <c r="L43">
        <v>547</v>
      </c>
      <c r="M43" s="1" t="s">
        <v>24</v>
      </c>
      <c r="N43" s="1" t="s">
        <v>25</v>
      </c>
      <c r="O43">
        <v>16000</v>
      </c>
      <c r="P43" s="2">
        <v>45907</v>
      </c>
      <c r="Q43">
        <v>101000</v>
      </c>
      <c r="R43" s="1" t="s">
        <v>32</v>
      </c>
      <c r="T43" s="5" t="str">
        <f>IF(AND(Banking_Data_100_Records[[#This Row],[Credit Score]]&gt;750,Banking_Data_100_Records[[#This Row],[Salary]]&gt;60000),"Eligible","Not Eligible")</f>
        <v>Not Eligible</v>
      </c>
      <c r="U43" s="5" t="str">
        <f>IF(Banking_Data_100_Records[[#This Row],[Balance]]&gt;500000,"High Balance","Normal Balance")</f>
        <v>Normal Balance</v>
      </c>
      <c r="V43" s="5" t="str">
        <f>IF(Banking_Data_100_Records[[#This Row],[Loan Amount]]&gt;1000000,"High Value Customer","Regular Customer")</f>
        <v>Regular Customer</v>
      </c>
      <c r="W43" s="8" t="str">
        <v>Poor</v>
      </c>
      <c r="X43" s="8" t="str">
        <v>Bronze</v>
      </c>
      <c r="Y43" s="9" t="str">
        <f>IF(AND(Banking_Data_100_Records[[#This Row],[Loan Status]]="Approved",Banking_Data_100_Records[[#This Row],[Credit Score]]&gt;=700)," Eligible","Not")</f>
        <v>Not</v>
      </c>
      <c r="Z43" s="9" t="str">
        <f>IF(AND(Banking_Data_100_Records[[#This Row],[Salary]]&gt;=80000,Banking_Data_100_Records[[#This Row],[Balance]]&gt;=300000),"Yes","No")</f>
        <v>No</v>
      </c>
      <c r="AA43" s="13" t="str">
        <f>IF(OR(Banking_Data_100_Records[[#This Row],[Salary]]&gt;=80000,Banking_Data_100_Records[[#This Row],[Balance]]&gt;=500000),"Special offer","Not")</f>
        <v>Not</v>
      </c>
      <c r="AB43" s="13" t="str">
        <f>IF(OR(Banking_Data_100_Records[[#This Row],[Loan Amount]]&gt;1500000,Banking_Data_100_Records[[#This Row],[Credit Score]]&gt;800),"Priority customer","Not")</f>
        <v>Not</v>
      </c>
    </row>
    <row r="44" spans="1:28" x14ac:dyDescent="0.35">
      <c r="A44" s="1" t="s">
        <v>122</v>
      </c>
      <c r="B44" s="1" t="s">
        <v>123</v>
      </c>
      <c r="C44" s="1" t="s">
        <v>48</v>
      </c>
      <c r="D44" s="1" t="s">
        <v>21</v>
      </c>
      <c r="E44" s="1" t="s">
        <v>22</v>
      </c>
      <c r="F44">
        <v>53</v>
      </c>
      <c r="G44" s="1" t="s">
        <v>57</v>
      </c>
      <c r="H44">
        <v>1495000</v>
      </c>
      <c r="I44">
        <v>12.31</v>
      </c>
      <c r="J44">
        <v>40252.879999999997</v>
      </c>
      <c r="K44">
        <v>150000</v>
      </c>
      <c r="L44">
        <v>561</v>
      </c>
      <c r="M44" s="1" t="s">
        <v>30</v>
      </c>
      <c r="N44" s="1" t="s">
        <v>25</v>
      </c>
      <c r="O44">
        <v>197000</v>
      </c>
      <c r="P44" s="2">
        <v>45914</v>
      </c>
      <c r="Q44">
        <v>694000</v>
      </c>
      <c r="R44" s="1" t="s">
        <v>45</v>
      </c>
      <c r="T44" s="5" t="str">
        <f>IF(AND(Banking_Data_100_Records[[#This Row],[Credit Score]]&gt;750,Banking_Data_100_Records[[#This Row],[Salary]]&gt;60000),"Eligible","Not Eligible")</f>
        <v>Not Eligible</v>
      </c>
      <c r="U44" s="5" t="str">
        <f>IF(Banking_Data_100_Records[[#This Row],[Balance]]&gt;500000,"High Balance","Normal Balance")</f>
        <v>High Balance</v>
      </c>
      <c r="V44" s="5" t="str">
        <f>IF(Banking_Data_100_Records[[#This Row],[Loan Amount]]&gt;1000000,"High Value Customer","Regular Customer")</f>
        <v>High Value Customer</v>
      </c>
      <c r="W44" s="8" t="str">
        <v>Poor</v>
      </c>
      <c r="X44" s="8" t="str">
        <v>Platinum</v>
      </c>
      <c r="Y44" s="9" t="str">
        <f>IF(AND(Banking_Data_100_Records[[#This Row],[Loan Status]]="Approved",Banking_Data_100_Records[[#This Row],[Credit Score]]&gt;=700)," Eligible","Not")</f>
        <v>Not</v>
      </c>
      <c r="Z44" s="9" t="str">
        <f>IF(AND(Banking_Data_100_Records[[#This Row],[Salary]]&gt;=80000,Banking_Data_100_Records[[#This Row],[Balance]]&gt;=300000),"Yes","No")</f>
        <v>Yes</v>
      </c>
      <c r="AA44" s="13" t="str">
        <f>IF(OR(Banking_Data_100_Records[[#This Row],[Salary]]&gt;=80000,Banking_Data_100_Records[[#This Row],[Balance]]&gt;=500000),"Special offer","Not")</f>
        <v>Special offer</v>
      </c>
      <c r="AB44" s="13" t="str">
        <f>IF(OR(Banking_Data_100_Records[[#This Row],[Loan Amount]]&gt;1500000,Banking_Data_100_Records[[#This Row],[Credit Score]]&gt;800),"Priority customer","Not")</f>
        <v>Not</v>
      </c>
    </row>
    <row r="45" spans="1:28" x14ac:dyDescent="0.35">
      <c r="A45" s="1" t="s">
        <v>124</v>
      </c>
      <c r="B45" s="1" t="s">
        <v>125</v>
      </c>
      <c r="C45" s="1" t="s">
        <v>35</v>
      </c>
      <c r="D45" s="1" t="s">
        <v>21</v>
      </c>
      <c r="E45" s="1" t="s">
        <v>54</v>
      </c>
      <c r="F45">
        <v>46</v>
      </c>
      <c r="G45" s="1" t="s">
        <v>41</v>
      </c>
      <c r="H45">
        <v>1025000</v>
      </c>
      <c r="I45">
        <v>11.83</v>
      </c>
      <c r="J45">
        <v>27188.12</v>
      </c>
      <c r="K45">
        <v>68000</v>
      </c>
      <c r="L45">
        <v>473</v>
      </c>
      <c r="M45" s="1" t="s">
        <v>30</v>
      </c>
      <c r="N45" s="1" t="s">
        <v>25</v>
      </c>
      <c r="O45">
        <v>75000</v>
      </c>
      <c r="P45" s="2">
        <v>45974</v>
      </c>
      <c r="Q45">
        <v>138000</v>
      </c>
      <c r="R45" s="1" t="s">
        <v>60</v>
      </c>
      <c r="T45" s="5" t="str">
        <f>IF(AND(Banking_Data_100_Records[[#This Row],[Credit Score]]&gt;750,Banking_Data_100_Records[[#This Row],[Salary]]&gt;60000),"Eligible","Not Eligible")</f>
        <v>Not Eligible</v>
      </c>
      <c r="U45" s="5" t="str">
        <f>IF(Banking_Data_100_Records[[#This Row],[Balance]]&gt;500000,"High Balance","Normal Balance")</f>
        <v>Normal Balance</v>
      </c>
      <c r="V45" s="5" t="str">
        <f>IF(Banking_Data_100_Records[[#This Row],[Loan Amount]]&gt;1000000,"High Value Customer","Regular Customer")</f>
        <v>High Value Customer</v>
      </c>
      <c r="W45" s="8" t="str">
        <v>Poor</v>
      </c>
      <c r="X45" s="8" t="str">
        <v>Silver</v>
      </c>
      <c r="Y45" s="9" t="str">
        <f>IF(AND(Banking_Data_100_Records[[#This Row],[Loan Status]]="Approved",Banking_Data_100_Records[[#This Row],[Credit Score]]&gt;=700)," Eligible","Not")</f>
        <v>Not</v>
      </c>
      <c r="Z45" s="9" t="str">
        <f>IF(AND(Banking_Data_100_Records[[#This Row],[Salary]]&gt;=80000,Banking_Data_100_Records[[#This Row],[Balance]]&gt;=300000),"Yes","No")</f>
        <v>No</v>
      </c>
      <c r="AA45" s="13" t="str">
        <f>IF(OR(Banking_Data_100_Records[[#This Row],[Salary]]&gt;=80000,Banking_Data_100_Records[[#This Row],[Balance]]&gt;=500000),"Special offer","Not")</f>
        <v>Not</v>
      </c>
      <c r="AB45" s="13" t="str">
        <f>IF(OR(Banking_Data_100_Records[[#This Row],[Loan Amount]]&gt;1500000,Banking_Data_100_Records[[#This Row],[Credit Score]]&gt;800),"Priority customer","Not")</f>
        <v>Not</v>
      </c>
    </row>
    <row r="46" spans="1:28" x14ac:dyDescent="0.35">
      <c r="A46" s="1" t="s">
        <v>126</v>
      </c>
      <c r="B46" s="1" t="s">
        <v>127</v>
      </c>
      <c r="C46" s="1" t="s">
        <v>20</v>
      </c>
      <c r="D46" s="1" t="s">
        <v>21</v>
      </c>
      <c r="E46" s="1" t="s">
        <v>22</v>
      </c>
      <c r="F46">
        <v>54</v>
      </c>
      <c r="G46" s="1" t="s">
        <v>57</v>
      </c>
      <c r="H46">
        <v>670000</v>
      </c>
      <c r="I46">
        <v>11.54</v>
      </c>
      <c r="J46">
        <v>17609.830000000002</v>
      </c>
      <c r="K46">
        <v>89000</v>
      </c>
      <c r="L46">
        <v>850</v>
      </c>
      <c r="M46" s="1" t="s">
        <v>37</v>
      </c>
      <c r="N46" s="1" t="s">
        <v>44</v>
      </c>
      <c r="O46">
        <v>25500</v>
      </c>
      <c r="P46" s="2">
        <v>45819</v>
      </c>
      <c r="Q46">
        <v>549000</v>
      </c>
      <c r="R46" s="1" t="s">
        <v>32</v>
      </c>
      <c r="T46" s="5" t="str">
        <f>IF(AND(Banking_Data_100_Records[[#This Row],[Credit Score]]&gt;750,Banking_Data_100_Records[[#This Row],[Salary]]&gt;60000),"Eligible","Not Eligible")</f>
        <v>Eligible</v>
      </c>
      <c r="U46" s="5" t="str">
        <f>IF(Banking_Data_100_Records[[#This Row],[Balance]]&gt;500000,"High Balance","Normal Balance")</f>
        <v>High Balance</v>
      </c>
      <c r="V46" s="5" t="str">
        <f>IF(Banking_Data_100_Records[[#This Row],[Loan Amount]]&gt;1000000,"High Value Customer","Regular Customer")</f>
        <v>Regular Customer</v>
      </c>
      <c r="W46" s="8" t="str">
        <v>Excellent</v>
      </c>
      <c r="X46" s="8" t="str">
        <v>Gold</v>
      </c>
      <c r="Y46" s="9" t="str">
        <f>IF(AND(Banking_Data_100_Records[[#This Row],[Loan Status]]="Approved",Banking_Data_100_Records[[#This Row],[Credit Score]]&gt;=700)," Eligible","Not")</f>
        <v xml:space="preserve"> Eligible</v>
      </c>
      <c r="Z46" s="9" t="str">
        <f>IF(AND(Banking_Data_100_Records[[#This Row],[Salary]]&gt;=80000,Banking_Data_100_Records[[#This Row],[Balance]]&gt;=300000),"Yes","No")</f>
        <v>Yes</v>
      </c>
      <c r="AA46" s="13" t="str">
        <f>IF(OR(Banking_Data_100_Records[[#This Row],[Salary]]&gt;=80000,Banking_Data_100_Records[[#This Row],[Balance]]&gt;=500000),"Special offer","Not")</f>
        <v>Special offer</v>
      </c>
      <c r="AB46" s="13" t="str">
        <f>IF(OR(Banking_Data_100_Records[[#This Row],[Loan Amount]]&gt;1500000,Banking_Data_100_Records[[#This Row],[Credit Score]]&gt;800),"Priority customer","Not")</f>
        <v>Priority customer</v>
      </c>
    </row>
    <row r="47" spans="1:28" x14ac:dyDescent="0.35">
      <c r="A47" s="1" t="s">
        <v>128</v>
      </c>
      <c r="B47" s="1" t="s">
        <v>129</v>
      </c>
      <c r="C47" s="1" t="s">
        <v>35</v>
      </c>
      <c r="D47" s="1" t="s">
        <v>29</v>
      </c>
      <c r="E47" s="1" t="s">
        <v>22</v>
      </c>
      <c r="F47">
        <v>22</v>
      </c>
      <c r="G47" s="1" t="s">
        <v>41</v>
      </c>
      <c r="H47">
        <v>100000</v>
      </c>
      <c r="I47">
        <v>9.1199999999999992</v>
      </c>
      <c r="J47">
        <v>2426.67</v>
      </c>
      <c r="K47">
        <v>85000</v>
      </c>
      <c r="L47">
        <v>888</v>
      </c>
      <c r="M47" s="1" t="s">
        <v>37</v>
      </c>
      <c r="N47" s="1" t="s">
        <v>44</v>
      </c>
      <c r="O47">
        <v>47000</v>
      </c>
      <c r="P47" s="2">
        <v>45687</v>
      </c>
      <c r="Q47">
        <v>726000</v>
      </c>
      <c r="R47" s="1" t="s">
        <v>60</v>
      </c>
      <c r="T47" s="5" t="str">
        <f>IF(AND(Banking_Data_100_Records[[#This Row],[Credit Score]]&gt;750,Banking_Data_100_Records[[#This Row],[Salary]]&gt;60000),"Eligible","Not Eligible")</f>
        <v>Eligible</v>
      </c>
      <c r="U47" s="5" t="str">
        <f>IF(Banking_Data_100_Records[[#This Row],[Balance]]&gt;500000,"High Balance","Normal Balance")</f>
        <v>High Balance</v>
      </c>
      <c r="V47" s="5" t="str">
        <f>IF(Banking_Data_100_Records[[#This Row],[Loan Amount]]&gt;1000000,"High Value Customer","Regular Customer")</f>
        <v>Regular Customer</v>
      </c>
      <c r="W47" s="8" t="str">
        <v>Excellent</v>
      </c>
      <c r="X47" s="8" t="str">
        <v>Gold</v>
      </c>
      <c r="Y47" s="9" t="str">
        <f>IF(AND(Banking_Data_100_Records[[#This Row],[Loan Status]]="Approved",Banking_Data_100_Records[[#This Row],[Credit Score]]&gt;=700)," Eligible","Not")</f>
        <v xml:space="preserve"> Eligible</v>
      </c>
      <c r="Z47" s="9" t="str">
        <f>IF(AND(Banking_Data_100_Records[[#This Row],[Salary]]&gt;=80000,Banking_Data_100_Records[[#This Row],[Balance]]&gt;=300000),"Yes","No")</f>
        <v>Yes</v>
      </c>
      <c r="AA47" s="13" t="str">
        <f>IF(OR(Banking_Data_100_Records[[#This Row],[Salary]]&gt;=80000,Banking_Data_100_Records[[#This Row],[Balance]]&gt;=500000),"Special offer","Not")</f>
        <v>Special offer</v>
      </c>
      <c r="AB47" s="13" t="str">
        <f>IF(OR(Banking_Data_100_Records[[#This Row],[Loan Amount]]&gt;1500000,Banking_Data_100_Records[[#This Row],[Credit Score]]&gt;800),"Priority customer","Not")</f>
        <v>Priority customer</v>
      </c>
    </row>
    <row r="48" spans="1:28" x14ac:dyDescent="0.35">
      <c r="A48" s="1" t="s">
        <v>130</v>
      </c>
      <c r="B48" s="1" t="s">
        <v>85</v>
      </c>
      <c r="C48" s="1" t="s">
        <v>48</v>
      </c>
      <c r="D48" s="1" t="s">
        <v>29</v>
      </c>
      <c r="E48" s="1" t="s">
        <v>22</v>
      </c>
      <c r="F48">
        <v>40</v>
      </c>
      <c r="G48" s="1" t="s">
        <v>57</v>
      </c>
      <c r="H48">
        <v>1480000</v>
      </c>
      <c r="I48">
        <v>11.43</v>
      </c>
      <c r="J48">
        <v>38763.67</v>
      </c>
      <c r="K48">
        <v>52000</v>
      </c>
      <c r="L48">
        <v>805</v>
      </c>
      <c r="M48" s="1" t="s">
        <v>37</v>
      </c>
      <c r="N48" s="1" t="s">
        <v>25</v>
      </c>
      <c r="O48">
        <v>174500</v>
      </c>
      <c r="P48" s="2">
        <v>45661</v>
      </c>
      <c r="Q48">
        <v>323000</v>
      </c>
      <c r="R48" s="1" t="s">
        <v>60</v>
      </c>
      <c r="T48" s="5" t="str">
        <f>IF(AND(Banking_Data_100_Records[[#This Row],[Credit Score]]&gt;750,Banking_Data_100_Records[[#This Row],[Salary]]&gt;60000),"Eligible","Not Eligible")</f>
        <v>Not Eligible</v>
      </c>
      <c r="U48" s="5" t="str">
        <f>IF(Banking_Data_100_Records[[#This Row],[Balance]]&gt;500000,"High Balance","Normal Balance")</f>
        <v>Normal Balance</v>
      </c>
      <c r="V48" s="5" t="str">
        <f>IF(Banking_Data_100_Records[[#This Row],[Loan Amount]]&gt;1000000,"High Value Customer","Regular Customer")</f>
        <v>High Value Customer</v>
      </c>
      <c r="W48" s="8" t="str">
        <v>Excellent</v>
      </c>
      <c r="X48" s="8" t="str">
        <v>Silver</v>
      </c>
      <c r="Y48" s="9" t="str">
        <f>IF(AND(Banking_Data_100_Records[[#This Row],[Loan Status]]="Approved",Banking_Data_100_Records[[#This Row],[Credit Score]]&gt;=700)," Eligible","Not")</f>
        <v xml:space="preserve"> Eligible</v>
      </c>
      <c r="Z48" s="9" t="str">
        <f>IF(AND(Banking_Data_100_Records[[#This Row],[Salary]]&gt;=80000,Banking_Data_100_Records[[#This Row],[Balance]]&gt;=300000),"Yes","No")</f>
        <v>No</v>
      </c>
      <c r="AA48" s="13" t="str">
        <f>IF(OR(Banking_Data_100_Records[[#This Row],[Salary]]&gt;=80000,Banking_Data_100_Records[[#This Row],[Balance]]&gt;=500000),"Special offer","Not")</f>
        <v>Not</v>
      </c>
      <c r="AB48" s="13" t="str">
        <f>IF(OR(Banking_Data_100_Records[[#This Row],[Loan Amount]]&gt;1500000,Banking_Data_100_Records[[#This Row],[Credit Score]]&gt;800),"Priority customer","Not")</f>
        <v>Priority customer</v>
      </c>
    </row>
    <row r="49" spans="1:28" x14ac:dyDescent="0.35">
      <c r="A49" s="1" t="s">
        <v>131</v>
      </c>
      <c r="B49" s="1" t="s">
        <v>132</v>
      </c>
      <c r="C49" s="1" t="s">
        <v>20</v>
      </c>
      <c r="D49" s="1" t="s">
        <v>21</v>
      </c>
      <c r="E49" s="1" t="s">
        <v>22</v>
      </c>
      <c r="F49">
        <v>40</v>
      </c>
      <c r="G49" s="1" t="s">
        <v>57</v>
      </c>
      <c r="H49">
        <v>75000</v>
      </c>
      <c r="I49">
        <v>8.98</v>
      </c>
      <c r="J49">
        <v>1811.25</v>
      </c>
      <c r="K49">
        <v>139000</v>
      </c>
      <c r="L49">
        <v>516</v>
      </c>
      <c r="M49" s="1" t="s">
        <v>30</v>
      </c>
      <c r="N49" s="1" t="s">
        <v>44</v>
      </c>
      <c r="O49">
        <v>192500</v>
      </c>
      <c r="P49" s="2">
        <v>45997</v>
      </c>
      <c r="Q49">
        <v>752000</v>
      </c>
      <c r="R49" s="1" t="s">
        <v>26</v>
      </c>
      <c r="T49" s="5" t="str">
        <f>IF(AND(Banking_Data_100_Records[[#This Row],[Credit Score]]&gt;750,Banking_Data_100_Records[[#This Row],[Salary]]&gt;60000),"Eligible","Not Eligible")</f>
        <v>Not Eligible</v>
      </c>
      <c r="U49" s="5" t="str">
        <f>IF(Banking_Data_100_Records[[#This Row],[Balance]]&gt;500000,"High Balance","Normal Balance")</f>
        <v>High Balance</v>
      </c>
      <c r="V49" s="5" t="str">
        <f>IF(Banking_Data_100_Records[[#This Row],[Loan Amount]]&gt;1000000,"High Value Customer","Regular Customer")</f>
        <v>Regular Customer</v>
      </c>
      <c r="W49" s="8" t="str">
        <v>Poor</v>
      </c>
      <c r="X49" s="8" t="str">
        <v>Platinum</v>
      </c>
      <c r="Y49" s="9" t="str">
        <f>IF(AND(Banking_Data_100_Records[[#This Row],[Loan Status]]="Approved",Banking_Data_100_Records[[#This Row],[Credit Score]]&gt;=700)," Eligible","Not")</f>
        <v>Not</v>
      </c>
      <c r="Z49" s="9" t="str">
        <f>IF(AND(Banking_Data_100_Records[[#This Row],[Salary]]&gt;=80000,Banking_Data_100_Records[[#This Row],[Balance]]&gt;=300000),"Yes","No")</f>
        <v>Yes</v>
      </c>
      <c r="AA49" s="13" t="str">
        <f>IF(OR(Banking_Data_100_Records[[#This Row],[Salary]]&gt;=80000,Banking_Data_100_Records[[#This Row],[Balance]]&gt;=500000),"Special offer","Not")</f>
        <v>Special offer</v>
      </c>
      <c r="AB49" s="13" t="str">
        <f>IF(OR(Banking_Data_100_Records[[#This Row],[Loan Amount]]&gt;1500000,Banking_Data_100_Records[[#This Row],[Credit Score]]&gt;800),"Priority customer","Not")</f>
        <v>Not</v>
      </c>
    </row>
    <row r="50" spans="1:28" x14ac:dyDescent="0.35">
      <c r="A50" s="1" t="s">
        <v>133</v>
      </c>
      <c r="B50" s="1" t="s">
        <v>134</v>
      </c>
      <c r="C50" s="1" t="s">
        <v>48</v>
      </c>
      <c r="D50" s="1" t="s">
        <v>21</v>
      </c>
      <c r="E50" s="1" t="s">
        <v>22</v>
      </c>
      <c r="F50">
        <v>25</v>
      </c>
      <c r="G50" s="1" t="s">
        <v>57</v>
      </c>
      <c r="H50">
        <v>1410000</v>
      </c>
      <c r="I50">
        <v>9.84</v>
      </c>
      <c r="J50">
        <v>35062</v>
      </c>
      <c r="K50">
        <v>46000</v>
      </c>
      <c r="L50">
        <v>741</v>
      </c>
      <c r="M50" s="1" t="s">
        <v>37</v>
      </c>
      <c r="N50" s="1" t="s">
        <v>25</v>
      </c>
      <c r="O50">
        <v>188500</v>
      </c>
      <c r="P50" s="2">
        <v>45975</v>
      </c>
      <c r="Q50">
        <v>30000</v>
      </c>
      <c r="R50" s="1" t="s">
        <v>51</v>
      </c>
      <c r="T50" s="5" t="str">
        <f>IF(AND(Banking_Data_100_Records[[#This Row],[Credit Score]]&gt;750,Banking_Data_100_Records[[#This Row],[Salary]]&gt;60000),"Eligible","Not Eligible")</f>
        <v>Not Eligible</v>
      </c>
      <c r="U50" s="5" t="str">
        <f>IF(Banking_Data_100_Records[[#This Row],[Balance]]&gt;500000,"High Balance","Normal Balance")</f>
        <v>Normal Balance</v>
      </c>
      <c r="V50" s="5" t="str">
        <f>IF(Banking_Data_100_Records[[#This Row],[Loan Amount]]&gt;1000000,"High Value Customer","Regular Customer")</f>
        <v>High Value Customer</v>
      </c>
      <c r="W50" s="8" t="str">
        <v>Good</v>
      </c>
      <c r="X50" s="8" t="str">
        <v>Silver</v>
      </c>
      <c r="Y50" s="9" t="str">
        <f>IF(AND(Banking_Data_100_Records[[#This Row],[Loan Status]]="Approved",Banking_Data_100_Records[[#This Row],[Credit Score]]&gt;=700)," Eligible","Not")</f>
        <v xml:space="preserve"> Eligible</v>
      </c>
      <c r="Z50" s="9" t="str">
        <f>IF(AND(Banking_Data_100_Records[[#This Row],[Salary]]&gt;=80000,Banking_Data_100_Records[[#This Row],[Balance]]&gt;=300000),"Yes","No")</f>
        <v>No</v>
      </c>
      <c r="AA50" s="13" t="str">
        <f>IF(OR(Banking_Data_100_Records[[#This Row],[Salary]]&gt;=80000,Banking_Data_100_Records[[#This Row],[Balance]]&gt;=500000),"Special offer","Not")</f>
        <v>Not</v>
      </c>
      <c r="AB50" s="13" t="str">
        <f>IF(OR(Banking_Data_100_Records[[#This Row],[Loan Amount]]&gt;1500000,Banking_Data_100_Records[[#This Row],[Credit Score]]&gt;800),"Priority customer","Not")</f>
        <v>Not</v>
      </c>
    </row>
    <row r="51" spans="1:28" x14ac:dyDescent="0.35">
      <c r="A51" s="1" t="s">
        <v>135</v>
      </c>
      <c r="B51" s="1" t="s">
        <v>136</v>
      </c>
      <c r="C51" s="1" t="s">
        <v>40</v>
      </c>
      <c r="D51" s="1" t="s">
        <v>29</v>
      </c>
      <c r="E51" s="1" t="s">
        <v>22</v>
      </c>
      <c r="F51">
        <v>39</v>
      </c>
      <c r="G51" s="1" t="s">
        <v>36</v>
      </c>
      <c r="H51">
        <v>780000</v>
      </c>
      <c r="I51">
        <v>9.64</v>
      </c>
      <c r="J51">
        <v>19266</v>
      </c>
      <c r="K51">
        <v>20000</v>
      </c>
      <c r="L51">
        <v>576</v>
      </c>
      <c r="M51" s="1" t="s">
        <v>30</v>
      </c>
      <c r="N51" s="1" t="s">
        <v>44</v>
      </c>
      <c r="O51">
        <v>151500</v>
      </c>
      <c r="P51" s="2">
        <v>46016</v>
      </c>
      <c r="Q51">
        <v>25000</v>
      </c>
      <c r="R51" s="1" t="s">
        <v>60</v>
      </c>
      <c r="T51" s="5" t="str">
        <f>IF(AND(Banking_Data_100_Records[[#This Row],[Credit Score]]&gt;750,Banking_Data_100_Records[[#This Row],[Salary]]&gt;60000),"Eligible","Not Eligible")</f>
        <v>Not Eligible</v>
      </c>
      <c r="U51" s="5" t="str">
        <f>IF(Banking_Data_100_Records[[#This Row],[Balance]]&gt;500000,"High Balance","Normal Balance")</f>
        <v>Normal Balance</v>
      </c>
      <c r="V51" s="5" t="str">
        <f>IF(Banking_Data_100_Records[[#This Row],[Loan Amount]]&gt;1000000,"High Value Customer","Regular Customer")</f>
        <v>Regular Customer</v>
      </c>
      <c r="W51" s="8" t="str">
        <v>Poor</v>
      </c>
      <c r="X51" s="8" t="str">
        <v>Bronze</v>
      </c>
      <c r="Y51" s="9" t="str">
        <f>IF(AND(Banking_Data_100_Records[[#This Row],[Loan Status]]="Approved",Banking_Data_100_Records[[#This Row],[Credit Score]]&gt;=700)," Eligible","Not")</f>
        <v>Not</v>
      </c>
      <c r="Z51" s="9" t="str">
        <f>IF(AND(Banking_Data_100_Records[[#This Row],[Salary]]&gt;=80000,Banking_Data_100_Records[[#This Row],[Balance]]&gt;=300000),"Yes","No")</f>
        <v>No</v>
      </c>
      <c r="AA51" s="13" t="str">
        <f>IF(OR(Banking_Data_100_Records[[#This Row],[Salary]]&gt;=80000,Banking_Data_100_Records[[#This Row],[Balance]]&gt;=500000),"Special offer","Not")</f>
        <v>Not</v>
      </c>
      <c r="AB51" s="13" t="str">
        <f>IF(OR(Banking_Data_100_Records[[#This Row],[Loan Amount]]&gt;1500000,Banking_Data_100_Records[[#This Row],[Credit Score]]&gt;800),"Priority customer","Not")</f>
        <v>Not</v>
      </c>
    </row>
    <row r="52" spans="1:28" x14ac:dyDescent="0.35">
      <c r="A52" s="1" t="s">
        <v>137</v>
      </c>
      <c r="B52" s="1" t="s">
        <v>138</v>
      </c>
      <c r="C52" s="1" t="s">
        <v>40</v>
      </c>
      <c r="D52" s="1" t="s">
        <v>21</v>
      </c>
      <c r="E52" s="1" t="s">
        <v>22</v>
      </c>
      <c r="F52">
        <v>25</v>
      </c>
      <c r="G52" s="1" t="s">
        <v>23</v>
      </c>
      <c r="H52">
        <v>235000</v>
      </c>
      <c r="I52">
        <v>11.37</v>
      </c>
      <c r="J52">
        <v>6143.29</v>
      </c>
      <c r="K52">
        <v>111000</v>
      </c>
      <c r="L52">
        <v>356</v>
      </c>
      <c r="M52" s="1" t="s">
        <v>30</v>
      </c>
      <c r="N52" s="1" t="s">
        <v>31</v>
      </c>
      <c r="O52">
        <v>69500</v>
      </c>
      <c r="P52" s="2">
        <v>45672</v>
      </c>
      <c r="Q52">
        <v>926000</v>
      </c>
      <c r="R52" s="1" t="s">
        <v>60</v>
      </c>
      <c r="T52" s="5" t="str">
        <f>IF(AND(Banking_Data_100_Records[[#This Row],[Credit Score]]&gt;750,Banking_Data_100_Records[[#This Row],[Salary]]&gt;60000),"Eligible","Not Eligible")</f>
        <v>Not Eligible</v>
      </c>
      <c r="U52" s="5" t="str">
        <f>IF(Banking_Data_100_Records[[#This Row],[Balance]]&gt;500000,"High Balance","Normal Balance")</f>
        <v>High Balance</v>
      </c>
      <c r="V52" s="5" t="str">
        <f>IF(Banking_Data_100_Records[[#This Row],[Loan Amount]]&gt;1000000,"High Value Customer","Regular Customer")</f>
        <v>Regular Customer</v>
      </c>
      <c r="W52" s="8" t="str">
        <v>Poor</v>
      </c>
      <c r="X52" s="8" t="str">
        <v>Platinum</v>
      </c>
      <c r="Y52" s="9" t="str">
        <f>IF(AND(Banking_Data_100_Records[[#This Row],[Loan Status]]="Approved",Banking_Data_100_Records[[#This Row],[Credit Score]]&gt;=700)," Eligible","Not")</f>
        <v>Not</v>
      </c>
      <c r="Z52" s="9" t="str">
        <f>IF(AND(Banking_Data_100_Records[[#This Row],[Salary]]&gt;=80000,Banking_Data_100_Records[[#This Row],[Balance]]&gt;=300000),"Yes","No")</f>
        <v>Yes</v>
      </c>
      <c r="AA52" s="13" t="str">
        <f>IF(OR(Banking_Data_100_Records[[#This Row],[Salary]]&gt;=80000,Banking_Data_100_Records[[#This Row],[Balance]]&gt;=500000),"Special offer","Not")</f>
        <v>Special offer</v>
      </c>
      <c r="AB52" s="13" t="str">
        <f>IF(OR(Banking_Data_100_Records[[#This Row],[Loan Amount]]&gt;1500000,Banking_Data_100_Records[[#This Row],[Credit Score]]&gt;800),"Priority customer","Not")</f>
        <v>Not</v>
      </c>
    </row>
    <row r="53" spans="1:28" x14ac:dyDescent="0.35">
      <c r="A53" s="1" t="s">
        <v>139</v>
      </c>
      <c r="B53" s="1" t="s">
        <v>140</v>
      </c>
      <c r="C53" s="1" t="s">
        <v>35</v>
      </c>
      <c r="D53" s="1" t="s">
        <v>21</v>
      </c>
      <c r="E53" s="1" t="s">
        <v>54</v>
      </c>
      <c r="F53">
        <v>52</v>
      </c>
      <c r="G53" s="1" t="s">
        <v>57</v>
      </c>
      <c r="H53">
        <v>1065000</v>
      </c>
      <c r="I53">
        <v>9.94</v>
      </c>
      <c r="J53">
        <v>26571.75</v>
      </c>
      <c r="K53">
        <v>22000</v>
      </c>
      <c r="L53">
        <v>550</v>
      </c>
      <c r="M53" s="1" t="s">
        <v>30</v>
      </c>
      <c r="N53" s="1" t="s">
        <v>25</v>
      </c>
      <c r="O53">
        <v>1500</v>
      </c>
      <c r="P53" s="2">
        <v>45897</v>
      </c>
      <c r="Q53">
        <v>428000</v>
      </c>
      <c r="R53" s="1" t="s">
        <v>45</v>
      </c>
      <c r="T53" s="5" t="str">
        <f>IF(AND(Banking_Data_100_Records[[#This Row],[Credit Score]]&gt;750,Banking_Data_100_Records[[#This Row],[Salary]]&gt;60000),"Eligible","Not Eligible")</f>
        <v>Not Eligible</v>
      </c>
      <c r="U53" s="5" t="str">
        <f>IF(Banking_Data_100_Records[[#This Row],[Balance]]&gt;500000,"High Balance","Normal Balance")</f>
        <v>Normal Balance</v>
      </c>
      <c r="V53" s="5" t="str">
        <f>IF(Banking_Data_100_Records[[#This Row],[Loan Amount]]&gt;1000000,"High Value Customer","Regular Customer")</f>
        <v>High Value Customer</v>
      </c>
      <c r="W53" s="8" t="str">
        <v>Poor</v>
      </c>
      <c r="X53" s="8" t="str">
        <v>Bronze</v>
      </c>
      <c r="Y53" s="9" t="str">
        <f>IF(AND(Banking_Data_100_Records[[#This Row],[Loan Status]]="Approved",Banking_Data_100_Records[[#This Row],[Credit Score]]&gt;=700)," Eligible","Not")</f>
        <v>Not</v>
      </c>
      <c r="Z53" s="9" t="str">
        <f>IF(AND(Banking_Data_100_Records[[#This Row],[Salary]]&gt;=80000,Banking_Data_100_Records[[#This Row],[Balance]]&gt;=300000),"Yes","No")</f>
        <v>No</v>
      </c>
      <c r="AA53" s="13" t="str">
        <f>IF(OR(Banking_Data_100_Records[[#This Row],[Salary]]&gt;=80000,Banking_Data_100_Records[[#This Row],[Balance]]&gt;=500000),"Special offer","Not")</f>
        <v>Not</v>
      </c>
      <c r="AB53" s="13" t="str">
        <f>IF(OR(Banking_Data_100_Records[[#This Row],[Loan Amount]]&gt;1500000,Banking_Data_100_Records[[#This Row],[Credit Score]]&gt;800),"Priority customer","Not")</f>
        <v>Not</v>
      </c>
    </row>
    <row r="54" spans="1:28" x14ac:dyDescent="0.35">
      <c r="A54" s="1" t="s">
        <v>141</v>
      </c>
      <c r="B54" s="1" t="s">
        <v>142</v>
      </c>
      <c r="C54" s="1" t="s">
        <v>20</v>
      </c>
      <c r="D54" s="1" t="s">
        <v>21</v>
      </c>
      <c r="E54" s="1" t="s">
        <v>22</v>
      </c>
      <c r="F54">
        <v>49</v>
      </c>
      <c r="G54" s="1" t="s">
        <v>41</v>
      </c>
      <c r="H54">
        <v>1025000</v>
      </c>
      <c r="I54">
        <v>11.05</v>
      </c>
      <c r="J54">
        <v>26521.88</v>
      </c>
      <c r="K54">
        <v>133000</v>
      </c>
      <c r="L54">
        <v>714</v>
      </c>
      <c r="M54" s="1" t="s">
        <v>37</v>
      </c>
      <c r="N54" s="1" t="s">
        <v>25</v>
      </c>
      <c r="O54">
        <v>100000</v>
      </c>
      <c r="P54" s="2">
        <v>45747</v>
      </c>
      <c r="Q54">
        <v>784000</v>
      </c>
      <c r="R54" s="1" t="s">
        <v>51</v>
      </c>
      <c r="T54" s="5" t="str">
        <f>IF(AND(Banking_Data_100_Records[[#This Row],[Credit Score]]&gt;750,Banking_Data_100_Records[[#This Row],[Salary]]&gt;60000),"Eligible","Not Eligible")</f>
        <v>Not Eligible</v>
      </c>
      <c r="U54" s="5" t="str">
        <f>IF(Banking_Data_100_Records[[#This Row],[Balance]]&gt;500000,"High Balance","Normal Balance")</f>
        <v>High Balance</v>
      </c>
      <c r="V54" s="5" t="str">
        <f>IF(Banking_Data_100_Records[[#This Row],[Loan Amount]]&gt;1000000,"High Value Customer","Regular Customer")</f>
        <v>High Value Customer</v>
      </c>
      <c r="W54" s="8" t="str">
        <v>Good</v>
      </c>
      <c r="X54" s="8" t="str">
        <v>Platinum</v>
      </c>
      <c r="Y54" s="9" t="str">
        <f>IF(AND(Banking_Data_100_Records[[#This Row],[Loan Status]]="Approved",Banking_Data_100_Records[[#This Row],[Credit Score]]&gt;=700)," Eligible","Not")</f>
        <v xml:space="preserve"> Eligible</v>
      </c>
      <c r="Z54" s="9" t="str">
        <f>IF(AND(Banking_Data_100_Records[[#This Row],[Salary]]&gt;=80000,Banking_Data_100_Records[[#This Row],[Balance]]&gt;=300000),"Yes","No")</f>
        <v>Yes</v>
      </c>
      <c r="AA54" s="13" t="str">
        <f>IF(OR(Banking_Data_100_Records[[#This Row],[Salary]]&gt;=80000,Banking_Data_100_Records[[#This Row],[Balance]]&gt;=500000),"Special offer","Not")</f>
        <v>Special offer</v>
      </c>
      <c r="AB54" s="13" t="str">
        <f>IF(OR(Banking_Data_100_Records[[#This Row],[Loan Amount]]&gt;1500000,Banking_Data_100_Records[[#This Row],[Credit Score]]&gt;800),"Priority customer","Not")</f>
        <v>Not</v>
      </c>
    </row>
    <row r="55" spans="1:28" x14ac:dyDescent="0.35">
      <c r="A55" s="1" t="s">
        <v>143</v>
      </c>
      <c r="B55" s="1" t="s">
        <v>66</v>
      </c>
      <c r="C55" s="1" t="s">
        <v>71</v>
      </c>
      <c r="D55" s="1" t="s">
        <v>21</v>
      </c>
      <c r="E55" s="1" t="s">
        <v>22</v>
      </c>
      <c r="F55">
        <v>38</v>
      </c>
      <c r="G55" s="1" t="s">
        <v>41</v>
      </c>
      <c r="H55">
        <v>105000</v>
      </c>
      <c r="I55">
        <v>8.9700000000000006</v>
      </c>
      <c r="J55">
        <v>2534.88</v>
      </c>
      <c r="K55">
        <v>28000</v>
      </c>
      <c r="L55">
        <v>862</v>
      </c>
      <c r="M55" s="1" t="s">
        <v>37</v>
      </c>
      <c r="N55" s="1" t="s">
        <v>25</v>
      </c>
      <c r="O55">
        <v>24000</v>
      </c>
      <c r="P55" s="2">
        <v>45682</v>
      </c>
      <c r="Q55">
        <v>352000</v>
      </c>
      <c r="R55" s="1" t="s">
        <v>26</v>
      </c>
      <c r="T55" s="5" t="str">
        <f>IF(AND(Banking_Data_100_Records[[#This Row],[Credit Score]]&gt;750,Banking_Data_100_Records[[#This Row],[Salary]]&gt;60000),"Eligible","Not Eligible")</f>
        <v>Not Eligible</v>
      </c>
      <c r="U55" s="5" t="str">
        <f>IF(Banking_Data_100_Records[[#This Row],[Balance]]&gt;500000,"High Balance","Normal Balance")</f>
        <v>Normal Balance</v>
      </c>
      <c r="V55" s="5" t="str">
        <f>IF(Banking_Data_100_Records[[#This Row],[Loan Amount]]&gt;1000000,"High Value Customer","Regular Customer")</f>
        <v>Regular Customer</v>
      </c>
      <c r="W55" s="8" t="str">
        <v>Excellent</v>
      </c>
      <c r="X55" s="8" t="str">
        <v>Bronze</v>
      </c>
      <c r="Y55" s="9" t="str">
        <f>IF(AND(Banking_Data_100_Records[[#This Row],[Loan Status]]="Approved",Banking_Data_100_Records[[#This Row],[Credit Score]]&gt;=700)," Eligible","Not")</f>
        <v xml:space="preserve"> Eligible</v>
      </c>
      <c r="Z55" s="9" t="str">
        <f>IF(AND(Banking_Data_100_Records[[#This Row],[Salary]]&gt;=80000,Banking_Data_100_Records[[#This Row],[Balance]]&gt;=300000),"Yes","No")</f>
        <v>No</v>
      </c>
      <c r="AA55" s="13" t="str">
        <f>IF(OR(Banking_Data_100_Records[[#This Row],[Salary]]&gt;=80000,Banking_Data_100_Records[[#This Row],[Balance]]&gt;=500000),"Special offer","Not")</f>
        <v>Not</v>
      </c>
      <c r="AB55" s="13" t="str">
        <f>IF(OR(Banking_Data_100_Records[[#This Row],[Loan Amount]]&gt;1500000,Banking_Data_100_Records[[#This Row],[Credit Score]]&gt;800),"Priority customer","Not")</f>
        <v>Priority customer</v>
      </c>
    </row>
    <row r="56" spans="1:28" x14ac:dyDescent="0.35">
      <c r="A56" s="1" t="s">
        <v>144</v>
      </c>
      <c r="B56" s="1" t="s">
        <v>145</v>
      </c>
      <c r="C56" s="1" t="s">
        <v>48</v>
      </c>
      <c r="D56" s="1" t="s">
        <v>29</v>
      </c>
      <c r="E56" s="1" t="s">
        <v>22</v>
      </c>
      <c r="F56">
        <v>36</v>
      </c>
      <c r="G56" s="1" t="s">
        <v>36</v>
      </c>
      <c r="H56">
        <v>1140000</v>
      </c>
      <c r="I56">
        <v>7.21</v>
      </c>
      <c r="J56">
        <v>25849.5</v>
      </c>
      <c r="K56">
        <v>142000</v>
      </c>
      <c r="L56">
        <v>640</v>
      </c>
      <c r="M56" s="1" t="s">
        <v>24</v>
      </c>
      <c r="N56" s="1" t="s">
        <v>44</v>
      </c>
      <c r="O56">
        <v>64000</v>
      </c>
      <c r="P56" s="2">
        <v>45961</v>
      </c>
      <c r="Q56">
        <v>683000</v>
      </c>
      <c r="R56" s="1" t="s">
        <v>26</v>
      </c>
      <c r="T56" s="5" t="str">
        <f>IF(AND(Banking_Data_100_Records[[#This Row],[Credit Score]]&gt;750,Banking_Data_100_Records[[#This Row],[Salary]]&gt;60000),"Eligible","Not Eligible")</f>
        <v>Not Eligible</v>
      </c>
      <c r="U56" s="5" t="str">
        <f>IF(Banking_Data_100_Records[[#This Row],[Balance]]&gt;500000,"High Balance","Normal Balance")</f>
        <v>High Balance</v>
      </c>
      <c r="V56" s="5" t="str">
        <f>IF(Banking_Data_100_Records[[#This Row],[Loan Amount]]&gt;1000000,"High Value Customer","Regular Customer")</f>
        <v>High Value Customer</v>
      </c>
      <c r="W56" s="8" t="str">
        <v>Average</v>
      </c>
      <c r="X56" s="8" t="str">
        <v>Platinum</v>
      </c>
      <c r="Y56" s="9" t="str">
        <f>IF(AND(Banking_Data_100_Records[[#This Row],[Loan Status]]="Approved",Banking_Data_100_Records[[#This Row],[Credit Score]]&gt;=700)," Eligible","Not")</f>
        <v>Not</v>
      </c>
      <c r="Z56" s="9" t="str">
        <f>IF(AND(Banking_Data_100_Records[[#This Row],[Salary]]&gt;=80000,Banking_Data_100_Records[[#This Row],[Balance]]&gt;=300000),"Yes","No")</f>
        <v>Yes</v>
      </c>
      <c r="AA56" s="13" t="str">
        <f>IF(OR(Banking_Data_100_Records[[#This Row],[Salary]]&gt;=80000,Banking_Data_100_Records[[#This Row],[Balance]]&gt;=500000),"Special offer","Not")</f>
        <v>Special offer</v>
      </c>
      <c r="AB56" s="13" t="str">
        <f>IF(OR(Banking_Data_100_Records[[#This Row],[Loan Amount]]&gt;1500000,Banking_Data_100_Records[[#This Row],[Credit Score]]&gt;800),"Priority customer","Not")</f>
        <v>Not</v>
      </c>
    </row>
    <row r="57" spans="1:28" x14ac:dyDescent="0.35">
      <c r="A57" s="1" t="s">
        <v>146</v>
      </c>
      <c r="B57" s="1" t="s">
        <v>147</v>
      </c>
      <c r="C57" s="1" t="s">
        <v>35</v>
      </c>
      <c r="D57" s="1" t="s">
        <v>29</v>
      </c>
      <c r="E57" s="1" t="s">
        <v>54</v>
      </c>
      <c r="F57">
        <v>31</v>
      </c>
      <c r="G57" s="1" t="s">
        <v>23</v>
      </c>
      <c r="H57">
        <v>620000</v>
      </c>
      <c r="I57">
        <v>9.49</v>
      </c>
      <c r="J57">
        <v>15236.5</v>
      </c>
      <c r="K57">
        <v>58000</v>
      </c>
      <c r="L57">
        <v>633</v>
      </c>
      <c r="M57" s="1" t="s">
        <v>30</v>
      </c>
      <c r="N57" s="1" t="s">
        <v>44</v>
      </c>
      <c r="O57">
        <v>104500</v>
      </c>
      <c r="P57" s="2">
        <v>45690</v>
      </c>
      <c r="Q57">
        <v>383000</v>
      </c>
      <c r="R57" s="1" t="s">
        <v>60</v>
      </c>
      <c r="T57" s="5" t="str">
        <f>IF(AND(Banking_Data_100_Records[[#This Row],[Credit Score]]&gt;750,Banking_Data_100_Records[[#This Row],[Salary]]&gt;60000),"Eligible","Not Eligible")</f>
        <v>Not Eligible</v>
      </c>
      <c r="U57" s="5" t="str">
        <f>IF(Banking_Data_100_Records[[#This Row],[Balance]]&gt;500000,"High Balance","Normal Balance")</f>
        <v>Normal Balance</v>
      </c>
      <c r="V57" s="5" t="str">
        <f>IF(Banking_Data_100_Records[[#This Row],[Loan Amount]]&gt;1000000,"High Value Customer","Regular Customer")</f>
        <v>Regular Customer</v>
      </c>
      <c r="W57" s="8" t="str">
        <v>Average</v>
      </c>
      <c r="X57" s="8" t="str">
        <v>Silver</v>
      </c>
      <c r="Y57" s="9" t="str">
        <f>IF(AND(Banking_Data_100_Records[[#This Row],[Loan Status]]="Approved",Banking_Data_100_Records[[#This Row],[Credit Score]]&gt;=700)," Eligible","Not")</f>
        <v>Not</v>
      </c>
      <c r="Z57" s="9" t="str">
        <f>IF(AND(Banking_Data_100_Records[[#This Row],[Salary]]&gt;=80000,Banking_Data_100_Records[[#This Row],[Balance]]&gt;=300000),"Yes","No")</f>
        <v>No</v>
      </c>
      <c r="AA57" s="13" t="str">
        <f>IF(OR(Banking_Data_100_Records[[#This Row],[Salary]]&gt;=80000,Banking_Data_100_Records[[#This Row],[Balance]]&gt;=500000),"Special offer","Not")</f>
        <v>Not</v>
      </c>
      <c r="AB57" s="13" t="str">
        <f>IF(OR(Banking_Data_100_Records[[#This Row],[Loan Amount]]&gt;1500000,Banking_Data_100_Records[[#This Row],[Credit Score]]&gt;800),"Priority customer","Not")</f>
        <v>Not</v>
      </c>
    </row>
    <row r="58" spans="1:28" x14ac:dyDescent="0.35">
      <c r="A58" s="1" t="s">
        <v>148</v>
      </c>
      <c r="B58" s="1" t="s">
        <v>149</v>
      </c>
      <c r="C58" s="1" t="s">
        <v>71</v>
      </c>
      <c r="D58" s="1" t="s">
        <v>29</v>
      </c>
      <c r="E58" s="1" t="s">
        <v>22</v>
      </c>
      <c r="F58">
        <v>44</v>
      </c>
      <c r="G58" s="1" t="s">
        <v>23</v>
      </c>
      <c r="H58">
        <v>1325000</v>
      </c>
      <c r="I58">
        <v>8.5299999999999994</v>
      </c>
      <c r="J58">
        <v>31501.88</v>
      </c>
      <c r="K58">
        <v>57000</v>
      </c>
      <c r="L58">
        <v>517</v>
      </c>
      <c r="M58" s="1" t="s">
        <v>30</v>
      </c>
      <c r="N58" s="1" t="s">
        <v>25</v>
      </c>
      <c r="O58">
        <v>140000</v>
      </c>
      <c r="P58" s="2">
        <v>45707</v>
      </c>
      <c r="Q58">
        <v>154000</v>
      </c>
      <c r="R58" s="1" t="s">
        <v>32</v>
      </c>
      <c r="T58" s="5" t="str">
        <f>IF(AND(Banking_Data_100_Records[[#This Row],[Credit Score]]&gt;750,Banking_Data_100_Records[[#This Row],[Salary]]&gt;60000),"Eligible","Not Eligible")</f>
        <v>Not Eligible</v>
      </c>
      <c r="U58" s="5" t="str">
        <f>IF(Banking_Data_100_Records[[#This Row],[Balance]]&gt;500000,"High Balance","Normal Balance")</f>
        <v>Normal Balance</v>
      </c>
      <c r="V58" s="5" t="str">
        <f>IF(Banking_Data_100_Records[[#This Row],[Loan Amount]]&gt;1000000,"High Value Customer","Regular Customer")</f>
        <v>High Value Customer</v>
      </c>
      <c r="W58" s="8" t="str">
        <v>Poor</v>
      </c>
      <c r="X58" s="8" t="str">
        <v>Silver</v>
      </c>
      <c r="Y58" s="9" t="str">
        <f>IF(AND(Banking_Data_100_Records[[#This Row],[Loan Status]]="Approved",Banking_Data_100_Records[[#This Row],[Credit Score]]&gt;=700)," Eligible","Not")</f>
        <v>Not</v>
      </c>
      <c r="Z58" s="9" t="str">
        <f>IF(AND(Banking_Data_100_Records[[#This Row],[Salary]]&gt;=80000,Banking_Data_100_Records[[#This Row],[Balance]]&gt;=300000),"Yes","No")</f>
        <v>No</v>
      </c>
      <c r="AA58" s="13" t="str">
        <f>IF(OR(Banking_Data_100_Records[[#This Row],[Salary]]&gt;=80000,Banking_Data_100_Records[[#This Row],[Balance]]&gt;=500000),"Special offer","Not")</f>
        <v>Not</v>
      </c>
      <c r="AB58" s="13" t="str">
        <f>IF(OR(Banking_Data_100_Records[[#This Row],[Loan Amount]]&gt;1500000,Banking_Data_100_Records[[#This Row],[Credit Score]]&gt;800),"Priority customer","Not")</f>
        <v>Not</v>
      </c>
    </row>
    <row r="59" spans="1:28" x14ac:dyDescent="0.35">
      <c r="A59" s="1" t="s">
        <v>150</v>
      </c>
      <c r="B59" s="1" t="s">
        <v>34</v>
      </c>
      <c r="C59" s="1" t="s">
        <v>48</v>
      </c>
      <c r="D59" s="1" t="s">
        <v>29</v>
      </c>
      <c r="E59" s="1" t="s">
        <v>54</v>
      </c>
      <c r="F59">
        <v>47</v>
      </c>
      <c r="G59" s="1" t="s">
        <v>36</v>
      </c>
      <c r="H59">
        <v>410000</v>
      </c>
      <c r="I59">
        <v>10.99</v>
      </c>
      <c r="J59">
        <v>10588.25</v>
      </c>
      <c r="K59">
        <v>132000</v>
      </c>
      <c r="L59">
        <v>539</v>
      </c>
      <c r="M59" s="1" t="s">
        <v>24</v>
      </c>
      <c r="N59" s="1" t="s">
        <v>31</v>
      </c>
      <c r="O59">
        <v>62500</v>
      </c>
      <c r="P59" s="2">
        <v>45724</v>
      </c>
      <c r="Q59">
        <v>413000</v>
      </c>
      <c r="R59" s="1" t="s">
        <v>45</v>
      </c>
      <c r="T59" s="5" t="str">
        <f>IF(AND(Banking_Data_100_Records[[#This Row],[Credit Score]]&gt;750,Banking_Data_100_Records[[#This Row],[Salary]]&gt;60000),"Eligible","Not Eligible")</f>
        <v>Not Eligible</v>
      </c>
      <c r="U59" s="5" t="str">
        <f>IF(Banking_Data_100_Records[[#This Row],[Balance]]&gt;500000,"High Balance","Normal Balance")</f>
        <v>Normal Balance</v>
      </c>
      <c r="V59" s="5" t="str">
        <f>IF(Banking_Data_100_Records[[#This Row],[Loan Amount]]&gt;1000000,"High Value Customer","Regular Customer")</f>
        <v>Regular Customer</v>
      </c>
      <c r="W59" s="8" t="str">
        <v>Poor</v>
      </c>
      <c r="X59" s="8" t="str">
        <v>Platinum</v>
      </c>
      <c r="Y59" s="9" t="str">
        <f>IF(AND(Banking_Data_100_Records[[#This Row],[Loan Status]]="Approved",Banking_Data_100_Records[[#This Row],[Credit Score]]&gt;=700)," Eligible","Not")</f>
        <v>Not</v>
      </c>
      <c r="Z59" s="9" t="str">
        <f>IF(AND(Banking_Data_100_Records[[#This Row],[Salary]]&gt;=80000,Banking_Data_100_Records[[#This Row],[Balance]]&gt;=300000),"Yes","No")</f>
        <v>Yes</v>
      </c>
      <c r="AA59" s="13" t="str">
        <f>IF(OR(Banking_Data_100_Records[[#This Row],[Salary]]&gt;=80000,Banking_Data_100_Records[[#This Row],[Balance]]&gt;=500000),"Special offer","Not")</f>
        <v>Special offer</v>
      </c>
      <c r="AB59" s="13" t="str">
        <f>IF(OR(Banking_Data_100_Records[[#This Row],[Loan Amount]]&gt;1500000,Banking_Data_100_Records[[#This Row],[Credit Score]]&gt;800),"Priority customer","Not")</f>
        <v>Not</v>
      </c>
    </row>
    <row r="60" spans="1:28" x14ac:dyDescent="0.35">
      <c r="A60" s="1" t="s">
        <v>151</v>
      </c>
      <c r="B60" s="1" t="s">
        <v>152</v>
      </c>
      <c r="C60" s="1" t="s">
        <v>71</v>
      </c>
      <c r="D60" s="1" t="s">
        <v>21</v>
      </c>
      <c r="E60" s="1" t="s">
        <v>54</v>
      </c>
      <c r="F60">
        <v>21</v>
      </c>
      <c r="G60" s="1" t="s">
        <v>23</v>
      </c>
      <c r="H60">
        <v>1860000</v>
      </c>
      <c r="I60">
        <v>8.86</v>
      </c>
      <c r="J60">
        <v>44733</v>
      </c>
      <c r="K60">
        <v>144000</v>
      </c>
      <c r="L60">
        <v>494</v>
      </c>
      <c r="M60" s="1" t="s">
        <v>30</v>
      </c>
      <c r="N60" s="1" t="s">
        <v>31</v>
      </c>
      <c r="O60">
        <v>179000</v>
      </c>
      <c r="P60" s="2">
        <v>45702</v>
      </c>
      <c r="Q60">
        <v>62000</v>
      </c>
      <c r="R60" s="1" t="s">
        <v>60</v>
      </c>
      <c r="T60" s="5" t="str">
        <f>IF(AND(Banking_Data_100_Records[[#This Row],[Credit Score]]&gt;750,Banking_Data_100_Records[[#This Row],[Salary]]&gt;60000),"Eligible","Not Eligible")</f>
        <v>Not Eligible</v>
      </c>
      <c r="U60" s="5" t="str">
        <f>IF(Banking_Data_100_Records[[#This Row],[Balance]]&gt;500000,"High Balance","Normal Balance")</f>
        <v>Normal Balance</v>
      </c>
      <c r="V60" s="5" t="str">
        <f>IF(Banking_Data_100_Records[[#This Row],[Loan Amount]]&gt;1000000,"High Value Customer","Regular Customer")</f>
        <v>High Value Customer</v>
      </c>
      <c r="W60" s="8" t="str">
        <v>Poor</v>
      </c>
      <c r="X60" s="8" t="str">
        <v>Platinum</v>
      </c>
      <c r="Y60" s="9" t="str">
        <f>IF(AND(Banking_Data_100_Records[[#This Row],[Loan Status]]="Approved",Banking_Data_100_Records[[#This Row],[Credit Score]]&gt;=700)," Eligible","Not")</f>
        <v>Not</v>
      </c>
      <c r="Z60" s="9" t="str">
        <f>IF(AND(Banking_Data_100_Records[[#This Row],[Salary]]&gt;=80000,Banking_Data_100_Records[[#This Row],[Balance]]&gt;=300000),"Yes","No")</f>
        <v>No</v>
      </c>
      <c r="AA60" s="13" t="str">
        <f>IF(OR(Banking_Data_100_Records[[#This Row],[Salary]]&gt;=80000,Banking_Data_100_Records[[#This Row],[Balance]]&gt;=500000),"Special offer","Not")</f>
        <v>Special offer</v>
      </c>
      <c r="AB60" s="13" t="str">
        <f>IF(OR(Banking_Data_100_Records[[#This Row],[Loan Amount]]&gt;1500000,Banking_Data_100_Records[[#This Row],[Credit Score]]&gt;800),"Priority customer","Not")</f>
        <v>Priority customer</v>
      </c>
    </row>
    <row r="61" spans="1:28" x14ac:dyDescent="0.35">
      <c r="A61" s="1" t="s">
        <v>153</v>
      </c>
      <c r="B61" s="1" t="s">
        <v>154</v>
      </c>
      <c r="C61" s="1" t="s">
        <v>35</v>
      </c>
      <c r="D61" s="1" t="s">
        <v>29</v>
      </c>
      <c r="E61" s="1" t="s">
        <v>22</v>
      </c>
      <c r="F61">
        <v>53</v>
      </c>
      <c r="G61" s="1" t="s">
        <v>23</v>
      </c>
      <c r="H61">
        <v>650000</v>
      </c>
      <c r="I61">
        <v>10.86</v>
      </c>
      <c r="J61">
        <v>16715.830000000002</v>
      </c>
      <c r="K61">
        <v>94000</v>
      </c>
      <c r="L61">
        <v>787</v>
      </c>
      <c r="M61" s="1" t="s">
        <v>37</v>
      </c>
      <c r="N61" s="1" t="s">
        <v>31</v>
      </c>
      <c r="O61">
        <v>127500</v>
      </c>
      <c r="P61" s="2">
        <v>45916</v>
      </c>
      <c r="Q61">
        <v>445000</v>
      </c>
      <c r="R61" s="1" t="s">
        <v>60</v>
      </c>
      <c r="T61" s="5" t="str">
        <f>IF(AND(Banking_Data_100_Records[[#This Row],[Credit Score]]&gt;750,Banking_Data_100_Records[[#This Row],[Salary]]&gt;60000),"Eligible","Not Eligible")</f>
        <v>Eligible</v>
      </c>
      <c r="U61" s="5" t="str">
        <f>IF(Banking_Data_100_Records[[#This Row],[Balance]]&gt;500000,"High Balance","Normal Balance")</f>
        <v>Normal Balance</v>
      </c>
      <c r="V61" s="5" t="str">
        <f>IF(Banking_Data_100_Records[[#This Row],[Loan Amount]]&gt;1000000,"High Value Customer","Regular Customer")</f>
        <v>Regular Customer</v>
      </c>
      <c r="W61" s="8" t="str">
        <v>Good</v>
      </c>
      <c r="X61" s="8" t="str">
        <v>Gold</v>
      </c>
      <c r="Y61" s="9" t="str">
        <f>IF(AND(Banking_Data_100_Records[[#This Row],[Loan Status]]="Approved",Banking_Data_100_Records[[#This Row],[Credit Score]]&gt;=700)," Eligible","Not")</f>
        <v xml:space="preserve"> Eligible</v>
      </c>
      <c r="Z61" s="9" t="str">
        <f>IF(AND(Banking_Data_100_Records[[#This Row],[Salary]]&gt;=80000,Banking_Data_100_Records[[#This Row],[Balance]]&gt;=300000),"Yes","No")</f>
        <v>Yes</v>
      </c>
      <c r="AA61" s="13" t="str">
        <f>IF(OR(Banking_Data_100_Records[[#This Row],[Salary]]&gt;=80000,Banking_Data_100_Records[[#This Row],[Balance]]&gt;=500000),"Special offer","Not")</f>
        <v>Special offer</v>
      </c>
      <c r="AB61" s="13" t="str">
        <f>IF(OR(Banking_Data_100_Records[[#This Row],[Loan Amount]]&gt;1500000,Banking_Data_100_Records[[#This Row],[Credit Score]]&gt;800),"Priority customer","Not")</f>
        <v>Not</v>
      </c>
    </row>
    <row r="62" spans="1:28" x14ac:dyDescent="0.35">
      <c r="A62" s="1" t="s">
        <v>155</v>
      </c>
      <c r="B62" s="1" t="s">
        <v>156</v>
      </c>
      <c r="C62" s="1" t="s">
        <v>35</v>
      </c>
      <c r="D62" s="1" t="s">
        <v>21</v>
      </c>
      <c r="E62" s="1" t="s">
        <v>22</v>
      </c>
      <c r="F62">
        <v>22</v>
      </c>
      <c r="G62" s="1" t="s">
        <v>23</v>
      </c>
      <c r="H62">
        <v>1215000</v>
      </c>
      <c r="I62">
        <v>11.06</v>
      </c>
      <c r="J62">
        <v>31448.25</v>
      </c>
      <c r="K62">
        <v>59000</v>
      </c>
      <c r="L62">
        <v>834</v>
      </c>
      <c r="M62" s="1" t="s">
        <v>37</v>
      </c>
      <c r="N62" s="1" t="s">
        <v>31</v>
      </c>
      <c r="O62">
        <v>198500</v>
      </c>
      <c r="P62" s="2">
        <v>45876</v>
      </c>
      <c r="Q62">
        <v>30000</v>
      </c>
      <c r="R62" s="1" t="s">
        <v>45</v>
      </c>
      <c r="T62" s="5" t="str">
        <f>IF(AND(Banking_Data_100_Records[[#This Row],[Credit Score]]&gt;750,Banking_Data_100_Records[[#This Row],[Salary]]&gt;60000),"Eligible","Not Eligible")</f>
        <v>Not Eligible</v>
      </c>
      <c r="U62" s="5" t="str">
        <f>IF(Banking_Data_100_Records[[#This Row],[Balance]]&gt;500000,"High Balance","Normal Balance")</f>
        <v>Normal Balance</v>
      </c>
      <c r="V62" s="5" t="str">
        <f>IF(Banking_Data_100_Records[[#This Row],[Loan Amount]]&gt;1000000,"High Value Customer","Regular Customer")</f>
        <v>High Value Customer</v>
      </c>
      <c r="W62" s="8" t="str">
        <v>Excellent</v>
      </c>
      <c r="X62" s="8" t="str">
        <v>Silver</v>
      </c>
      <c r="Y62" s="9" t="str">
        <f>IF(AND(Banking_Data_100_Records[[#This Row],[Loan Status]]="Approved",Banking_Data_100_Records[[#This Row],[Credit Score]]&gt;=700)," Eligible","Not")</f>
        <v xml:space="preserve"> Eligible</v>
      </c>
      <c r="Z62" s="9" t="str">
        <f>IF(AND(Banking_Data_100_Records[[#This Row],[Salary]]&gt;=80000,Banking_Data_100_Records[[#This Row],[Balance]]&gt;=300000),"Yes","No")</f>
        <v>No</v>
      </c>
      <c r="AA62" s="13" t="str">
        <f>IF(OR(Banking_Data_100_Records[[#This Row],[Salary]]&gt;=80000,Banking_Data_100_Records[[#This Row],[Balance]]&gt;=500000),"Special offer","Not")</f>
        <v>Not</v>
      </c>
      <c r="AB62" s="13" t="str">
        <f>IF(OR(Banking_Data_100_Records[[#This Row],[Loan Amount]]&gt;1500000,Banking_Data_100_Records[[#This Row],[Credit Score]]&gt;800),"Priority customer","Not")</f>
        <v>Priority customer</v>
      </c>
    </row>
    <row r="63" spans="1:28" x14ac:dyDescent="0.35">
      <c r="A63" s="1" t="s">
        <v>157</v>
      </c>
      <c r="B63" s="1" t="s">
        <v>158</v>
      </c>
      <c r="C63" s="1" t="s">
        <v>40</v>
      </c>
      <c r="D63" s="1" t="s">
        <v>29</v>
      </c>
      <c r="E63" s="1" t="s">
        <v>22</v>
      </c>
      <c r="F63">
        <v>23</v>
      </c>
      <c r="G63" s="1" t="s">
        <v>41</v>
      </c>
      <c r="H63">
        <v>1310000</v>
      </c>
      <c r="I63">
        <v>12.9</v>
      </c>
      <c r="J63">
        <v>35915.83</v>
      </c>
      <c r="K63">
        <v>81000</v>
      </c>
      <c r="L63">
        <v>355</v>
      </c>
      <c r="M63" s="1" t="s">
        <v>30</v>
      </c>
      <c r="N63" s="1" t="s">
        <v>31</v>
      </c>
      <c r="O63">
        <v>48000</v>
      </c>
      <c r="P63" s="2">
        <v>45777</v>
      </c>
      <c r="Q63">
        <v>484000</v>
      </c>
      <c r="R63" s="1" t="s">
        <v>51</v>
      </c>
      <c r="T63" s="5" t="str">
        <f>IF(AND(Banking_Data_100_Records[[#This Row],[Credit Score]]&gt;750,Banking_Data_100_Records[[#This Row],[Salary]]&gt;60000),"Eligible","Not Eligible")</f>
        <v>Not Eligible</v>
      </c>
      <c r="U63" s="5" t="str">
        <f>IF(Banking_Data_100_Records[[#This Row],[Balance]]&gt;500000,"High Balance","Normal Balance")</f>
        <v>Normal Balance</v>
      </c>
      <c r="V63" s="5" t="str">
        <f>IF(Banking_Data_100_Records[[#This Row],[Loan Amount]]&gt;1000000,"High Value Customer","Regular Customer")</f>
        <v>High Value Customer</v>
      </c>
      <c r="W63" s="8" t="str">
        <v>Poor</v>
      </c>
      <c r="X63" s="8" t="str">
        <v>Gold</v>
      </c>
      <c r="Y63" s="9" t="str">
        <f>IF(AND(Banking_Data_100_Records[[#This Row],[Loan Status]]="Approved",Banking_Data_100_Records[[#This Row],[Credit Score]]&gt;=700)," Eligible","Not")</f>
        <v>Not</v>
      </c>
      <c r="Z63" s="9" t="str">
        <f>IF(AND(Banking_Data_100_Records[[#This Row],[Salary]]&gt;=80000,Banking_Data_100_Records[[#This Row],[Balance]]&gt;=300000),"Yes","No")</f>
        <v>Yes</v>
      </c>
      <c r="AA63" s="13" t="str">
        <f>IF(OR(Banking_Data_100_Records[[#This Row],[Salary]]&gt;=80000,Banking_Data_100_Records[[#This Row],[Balance]]&gt;=500000),"Special offer","Not")</f>
        <v>Special offer</v>
      </c>
      <c r="AB63" s="13" t="str">
        <f>IF(OR(Banking_Data_100_Records[[#This Row],[Loan Amount]]&gt;1500000,Banking_Data_100_Records[[#This Row],[Credit Score]]&gt;800),"Priority customer","Not")</f>
        <v>Not</v>
      </c>
    </row>
    <row r="64" spans="1:28" x14ac:dyDescent="0.35">
      <c r="A64" s="1" t="s">
        <v>159</v>
      </c>
      <c r="B64" s="1" t="s">
        <v>160</v>
      </c>
      <c r="C64" s="1" t="s">
        <v>35</v>
      </c>
      <c r="D64" s="1" t="s">
        <v>21</v>
      </c>
      <c r="E64" s="1" t="s">
        <v>22</v>
      </c>
      <c r="F64">
        <v>48</v>
      </c>
      <c r="G64" s="1" t="s">
        <v>36</v>
      </c>
      <c r="H64">
        <v>1670000</v>
      </c>
      <c r="I64">
        <v>11.85</v>
      </c>
      <c r="J64">
        <v>44324.58</v>
      </c>
      <c r="K64">
        <v>26000</v>
      </c>
      <c r="L64">
        <v>846</v>
      </c>
      <c r="M64" s="1" t="s">
        <v>37</v>
      </c>
      <c r="N64" s="1" t="s">
        <v>44</v>
      </c>
      <c r="O64">
        <v>140000</v>
      </c>
      <c r="P64" s="2">
        <v>45702</v>
      </c>
      <c r="Q64">
        <v>382000</v>
      </c>
      <c r="R64" s="1" t="s">
        <v>60</v>
      </c>
      <c r="T64" s="5" t="str">
        <f>IF(AND(Banking_Data_100_Records[[#This Row],[Credit Score]]&gt;750,Banking_Data_100_Records[[#This Row],[Salary]]&gt;60000),"Eligible","Not Eligible")</f>
        <v>Not Eligible</v>
      </c>
      <c r="U64" s="5" t="str">
        <f>IF(Banking_Data_100_Records[[#This Row],[Balance]]&gt;500000,"High Balance","Normal Balance")</f>
        <v>Normal Balance</v>
      </c>
      <c r="V64" s="5" t="str">
        <f>IF(Banking_Data_100_Records[[#This Row],[Loan Amount]]&gt;1000000,"High Value Customer","Regular Customer")</f>
        <v>High Value Customer</v>
      </c>
      <c r="W64" s="8" t="str">
        <v>Excellent</v>
      </c>
      <c r="X64" s="8" t="str">
        <v>Bronze</v>
      </c>
      <c r="Y64" s="9" t="str">
        <f>IF(AND(Banking_Data_100_Records[[#This Row],[Loan Status]]="Approved",Banking_Data_100_Records[[#This Row],[Credit Score]]&gt;=700)," Eligible","Not")</f>
        <v xml:space="preserve"> Eligible</v>
      </c>
      <c r="Z64" s="9" t="str">
        <f>IF(AND(Banking_Data_100_Records[[#This Row],[Salary]]&gt;=80000,Banking_Data_100_Records[[#This Row],[Balance]]&gt;=300000),"Yes","No")</f>
        <v>No</v>
      </c>
      <c r="AA64" s="13" t="str">
        <f>IF(OR(Banking_Data_100_Records[[#This Row],[Salary]]&gt;=80000,Banking_Data_100_Records[[#This Row],[Balance]]&gt;=500000),"Special offer","Not")</f>
        <v>Not</v>
      </c>
      <c r="AB64" s="13" t="str">
        <f>IF(OR(Banking_Data_100_Records[[#This Row],[Loan Amount]]&gt;1500000,Banking_Data_100_Records[[#This Row],[Credit Score]]&gt;800),"Priority customer","Not")</f>
        <v>Priority customer</v>
      </c>
    </row>
    <row r="65" spans="1:28" x14ac:dyDescent="0.35">
      <c r="A65" s="1" t="s">
        <v>161</v>
      </c>
      <c r="B65" s="1" t="s">
        <v>162</v>
      </c>
      <c r="C65" s="1" t="s">
        <v>40</v>
      </c>
      <c r="D65" s="1" t="s">
        <v>29</v>
      </c>
      <c r="E65" s="1" t="s">
        <v>22</v>
      </c>
      <c r="F65">
        <v>54</v>
      </c>
      <c r="G65" s="1" t="s">
        <v>57</v>
      </c>
      <c r="H65">
        <v>810000</v>
      </c>
      <c r="I65">
        <v>13.64</v>
      </c>
      <c r="J65">
        <v>22707</v>
      </c>
      <c r="K65">
        <v>50000</v>
      </c>
      <c r="L65">
        <v>497</v>
      </c>
      <c r="M65" s="1" t="s">
        <v>24</v>
      </c>
      <c r="N65" s="1" t="s">
        <v>31</v>
      </c>
      <c r="O65">
        <v>175000</v>
      </c>
      <c r="P65" s="2">
        <v>45734</v>
      </c>
      <c r="Q65">
        <v>602000</v>
      </c>
      <c r="R65" s="1" t="s">
        <v>32</v>
      </c>
      <c r="T65" s="5" t="str">
        <f>IF(AND(Banking_Data_100_Records[[#This Row],[Credit Score]]&gt;750,Banking_Data_100_Records[[#This Row],[Salary]]&gt;60000),"Eligible","Not Eligible")</f>
        <v>Not Eligible</v>
      </c>
      <c r="U65" s="5" t="str">
        <f>IF(Banking_Data_100_Records[[#This Row],[Balance]]&gt;500000,"High Balance","Normal Balance")</f>
        <v>High Balance</v>
      </c>
      <c r="V65" s="5" t="str">
        <f>IF(Banking_Data_100_Records[[#This Row],[Loan Amount]]&gt;1000000,"High Value Customer","Regular Customer")</f>
        <v>Regular Customer</v>
      </c>
      <c r="W65" s="8" t="str">
        <v>Poor</v>
      </c>
      <c r="X65" s="8" t="str">
        <v>Silver</v>
      </c>
      <c r="Y65" s="9" t="str">
        <f>IF(AND(Banking_Data_100_Records[[#This Row],[Loan Status]]="Approved",Banking_Data_100_Records[[#This Row],[Credit Score]]&gt;=700)," Eligible","Not")</f>
        <v>Not</v>
      </c>
      <c r="Z65" s="9" t="str">
        <f>IF(AND(Banking_Data_100_Records[[#This Row],[Salary]]&gt;=80000,Banking_Data_100_Records[[#This Row],[Balance]]&gt;=300000),"Yes","No")</f>
        <v>No</v>
      </c>
      <c r="AA65" s="13" t="str">
        <f>IF(OR(Banking_Data_100_Records[[#This Row],[Salary]]&gt;=80000,Banking_Data_100_Records[[#This Row],[Balance]]&gt;=500000),"Special offer","Not")</f>
        <v>Special offer</v>
      </c>
      <c r="AB65" s="13" t="str">
        <f>IF(OR(Banking_Data_100_Records[[#This Row],[Loan Amount]]&gt;1500000,Banking_Data_100_Records[[#This Row],[Credit Score]]&gt;800),"Priority customer","Not")</f>
        <v>Not</v>
      </c>
    </row>
    <row r="66" spans="1:28" x14ac:dyDescent="0.35">
      <c r="A66" s="1" t="s">
        <v>163</v>
      </c>
      <c r="B66" s="1" t="s">
        <v>164</v>
      </c>
      <c r="C66" s="1" t="s">
        <v>48</v>
      </c>
      <c r="D66" s="1" t="s">
        <v>29</v>
      </c>
      <c r="E66" s="1" t="s">
        <v>22</v>
      </c>
      <c r="F66">
        <v>45</v>
      </c>
      <c r="G66" s="1" t="s">
        <v>41</v>
      </c>
      <c r="H66">
        <v>1940000</v>
      </c>
      <c r="I66">
        <v>11.11</v>
      </c>
      <c r="J66">
        <v>50294.5</v>
      </c>
      <c r="K66">
        <v>120000</v>
      </c>
      <c r="L66">
        <v>396</v>
      </c>
      <c r="M66" s="1" t="s">
        <v>30</v>
      </c>
      <c r="N66" s="1" t="s">
        <v>31</v>
      </c>
      <c r="O66">
        <v>182500</v>
      </c>
      <c r="P66" s="2">
        <v>45927</v>
      </c>
      <c r="Q66">
        <v>453000</v>
      </c>
      <c r="R66" s="1" t="s">
        <v>32</v>
      </c>
      <c r="T66" s="5" t="str">
        <f>IF(AND(Banking_Data_100_Records[[#This Row],[Credit Score]]&gt;750,Banking_Data_100_Records[[#This Row],[Salary]]&gt;60000),"Eligible","Not Eligible")</f>
        <v>Not Eligible</v>
      </c>
      <c r="U66" s="5" t="str">
        <f>IF(Banking_Data_100_Records[[#This Row],[Balance]]&gt;500000,"High Balance","Normal Balance")</f>
        <v>Normal Balance</v>
      </c>
      <c r="V66" s="5" t="str">
        <f>IF(Banking_Data_100_Records[[#This Row],[Loan Amount]]&gt;1000000,"High Value Customer","Regular Customer")</f>
        <v>High Value Customer</v>
      </c>
      <c r="W66" s="8" t="str">
        <v>Poor</v>
      </c>
      <c r="X66" s="8" t="str">
        <v>Platinum</v>
      </c>
      <c r="Y66" s="9" t="str">
        <f>IF(AND(Banking_Data_100_Records[[#This Row],[Loan Status]]="Approved",Banking_Data_100_Records[[#This Row],[Credit Score]]&gt;=700)," Eligible","Not")</f>
        <v>Not</v>
      </c>
      <c r="Z66" s="9" t="str">
        <f>IF(AND(Banking_Data_100_Records[[#This Row],[Salary]]&gt;=80000,Banking_Data_100_Records[[#This Row],[Balance]]&gt;=300000),"Yes","No")</f>
        <v>Yes</v>
      </c>
      <c r="AA66" s="13" t="str">
        <f>IF(OR(Banking_Data_100_Records[[#This Row],[Salary]]&gt;=80000,Banking_Data_100_Records[[#This Row],[Balance]]&gt;=500000),"Special offer","Not")</f>
        <v>Special offer</v>
      </c>
      <c r="AB66" s="13" t="str">
        <f>IF(OR(Banking_Data_100_Records[[#This Row],[Loan Amount]]&gt;1500000,Banking_Data_100_Records[[#This Row],[Credit Score]]&gt;800),"Priority customer","Not")</f>
        <v>Priority customer</v>
      </c>
    </row>
    <row r="67" spans="1:28" x14ac:dyDescent="0.35">
      <c r="A67" s="1" t="s">
        <v>165</v>
      </c>
      <c r="B67" s="1" t="s">
        <v>166</v>
      </c>
      <c r="C67" s="1" t="s">
        <v>48</v>
      </c>
      <c r="D67" s="1" t="s">
        <v>21</v>
      </c>
      <c r="E67" s="1" t="s">
        <v>22</v>
      </c>
      <c r="F67">
        <v>25</v>
      </c>
      <c r="G67" s="1" t="s">
        <v>36</v>
      </c>
      <c r="H67">
        <v>1070000</v>
      </c>
      <c r="I67">
        <v>8.81</v>
      </c>
      <c r="J67">
        <v>25688.92</v>
      </c>
      <c r="K67">
        <v>95000</v>
      </c>
      <c r="L67">
        <v>741</v>
      </c>
      <c r="M67" s="1" t="s">
        <v>37</v>
      </c>
      <c r="N67" s="1" t="s">
        <v>44</v>
      </c>
      <c r="O67">
        <v>147000</v>
      </c>
      <c r="P67" s="2">
        <v>45721</v>
      </c>
      <c r="Q67">
        <v>34000</v>
      </c>
      <c r="R67" s="1" t="s">
        <v>26</v>
      </c>
      <c r="T67" s="5" t="str">
        <f>IF(AND(Banking_Data_100_Records[[#This Row],[Credit Score]]&gt;750,Banking_Data_100_Records[[#This Row],[Salary]]&gt;60000),"Eligible","Not Eligible")</f>
        <v>Not Eligible</v>
      </c>
      <c r="U67" s="5" t="str">
        <f>IF(Banking_Data_100_Records[[#This Row],[Balance]]&gt;500000,"High Balance","Normal Balance")</f>
        <v>Normal Balance</v>
      </c>
      <c r="V67" s="5" t="str">
        <f>IF(Banking_Data_100_Records[[#This Row],[Loan Amount]]&gt;1000000,"High Value Customer","Regular Customer")</f>
        <v>High Value Customer</v>
      </c>
      <c r="W67" s="8" t="str">
        <v>Good</v>
      </c>
      <c r="X67" s="8" t="str">
        <v>Gold</v>
      </c>
      <c r="Y67" s="9" t="str">
        <f>IF(AND(Banking_Data_100_Records[[#This Row],[Loan Status]]="Approved",Banking_Data_100_Records[[#This Row],[Credit Score]]&gt;=700)," Eligible","Not")</f>
        <v xml:space="preserve"> Eligible</v>
      </c>
      <c r="Z67" s="9" t="str">
        <f>IF(AND(Banking_Data_100_Records[[#This Row],[Salary]]&gt;=80000,Banking_Data_100_Records[[#This Row],[Balance]]&gt;=300000),"Yes","No")</f>
        <v>No</v>
      </c>
      <c r="AA67" s="13" t="str">
        <f>IF(OR(Banking_Data_100_Records[[#This Row],[Salary]]&gt;=80000,Banking_Data_100_Records[[#This Row],[Balance]]&gt;=500000),"Special offer","Not")</f>
        <v>Special offer</v>
      </c>
      <c r="AB67" s="13" t="str">
        <f>IF(OR(Banking_Data_100_Records[[#This Row],[Loan Amount]]&gt;1500000,Banking_Data_100_Records[[#This Row],[Credit Score]]&gt;800),"Priority customer","Not")</f>
        <v>Not</v>
      </c>
    </row>
    <row r="68" spans="1:28" x14ac:dyDescent="0.35">
      <c r="A68" s="1" t="s">
        <v>167</v>
      </c>
      <c r="B68" s="1" t="s">
        <v>168</v>
      </c>
      <c r="C68" s="1" t="s">
        <v>40</v>
      </c>
      <c r="D68" s="1" t="s">
        <v>29</v>
      </c>
      <c r="E68" s="1" t="s">
        <v>54</v>
      </c>
      <c r="F68">
        <v>50</v>
      </c>
      <c r="G68" s="1" t="s">
        <v>41</v>
      </c>
      <c r="H68">
        <v>1490000</v>
      </c>
      <c r="I68">
        <v>10.93</v>
      </c>
      <c r="J68">
        <v>38404.75</v>
      </c>
      <c r="K68">
        <v>129000</v>
      </c>
      <c r="L68">
        <v>811</v>
      </c>
      <c r="M68" s="1" t="s">
        <v>37</v>
      </c>
      <c r="N68" s="1" t="s">
        <v>25</v>
      </c>
      <c r="O68">
        <v>102500</v>
      </c>
      <c r="P68" s="2">
        <v>45760</v>
      </c>
      <c r="Q68">
        <v>501000</v>
      </c>
      <c r="R68" s="1" t="s">
        <v>45</v>
      </c>
      <c r="T68" s="5" t="str">
        <f>IF(AND(Banking_Data_100_Records[[#This Row],[Credit Score]]&gt;750,Banking_Data_100_Records[[#This Row],[Salary]]&gt;60000),"Eligible","Not Eligible")</f>
        <v>Eligible</v>
      </c>
      <c r="U68" s="5" t="str">
        <f>IF(Banking_Data_100_Records[[#This Row],[Balance]]&gt;500000,"High Balance","Normal Balance")</f>
        <v>High Balance</v>
      </c>
      <c r="V68" s="5" t="str">
        <f>IF(Banking_Data_100_Records[[#This Row],[Loan Amount]]&gt;1000000,"High Value Customer","Regular Customer")</f>
        <v>High Value Customer</v>
      </c>
      <c r="W68" s="8" t="str">
        <v>Excellent</v>
      </c>
      <c r="X68" s="8" t="str">
        <v>Platinum</v>
      </c>
      <c r="Y68" s="9" t="str">
        <f>IF(AND(Banking_Data_100_Records[[#This Row],[Loan Status]]="Approved",Banking_Data_100_Records[[#This Row],[Credit Score]]&gt;=700)," Eligible","Not")</f>
        <v xml:space="preserve"> Eligible</v>
      </c>
      <c r="Z68" s="9" t="str">
        <f>IF(AND(Banking_Data_100_Records[[#This Row],[Salary]]&gt;=80000,Banking_Data_100_Records[[#This Row],[Balance]]&gt;=300000),"Yes","No")</f>
        <v>Yes</v>
      </c>
      <c r="AA68" s="13" t="str">
        <f>IF(OR(Banking_Data_100_Records[[#This Row],[Salary]]&gt;=80000,Banking_Data_100_Records[[#This Row],[Balance]]&gt;=500000),"Special offer","Not")</f>
        <v>Special offer</v>
      </c>
      <c r="AB68" s="13" t="str">
        <f>IF(OR(Banking_Data_100_Records[[#This Row],[Loan Amount]]&gt;1500000,Banking_Data_100_Records[[#This Row],[Credit Score]]&gt;800),"Priority customer","Not")</f>
        <v>Priority customer</v>
      </c>
    </row>
    <row r="69" spans="1:28" x14ac:dyDescent="0.35">
      <c r="A69" s="1" t="s">
        <v>169</v>
      </c>
      <c r="B69" s="1" t="s">
        <v>170</v>
      </c>
      <c r="C69" s="1" t="s">
        <v>20</v>
      </c>
      <c r="D69" s="1" t="s">
        <v>29</v>
      </c>
      <c r="E69" s="1" t="s">
        <v>54</v>
      </c>
      <c r="F69">
        <v>54</v>
      </c>
      <c r="G69" s="1" t="s">
        <v>23</v>
      </c>
      <c r="H69">
        <v>1985000</v>
      </c>
      <c r="I69">
        <v>10.83</v>
      </c>
      <c r="J69">
        <v>50997.96</v>
      </c>
      <c r="K69">
        <v>57000</v>
      </c>
      <c r="L69">
        <v>357</v>
      </c>
      <c r="M69" s="1" t="s">
        <v>30</v>
      </c>
      <c r="N69" s="1" t="s">
        <v>31</v>
      </c>
      <c r="O69">
        <v>30000</v>
      </c>
      <c r="P69" s="2">
        <v>45747</v>
      </c>
      <c r="Q69">
        <v>750000</v>
      </c>
      <c r="R69" s="1" t="s">
        <v>32</v>
      </c>
      <c r="T69" s="5" t="str">
        <f>IF(AND(Banking_Data_100_Records[[#This Row],[Credit Score]]&gt;750,Banking_Data_100_Records[[#This Row],[Salary]]&gt;60000),"Eligible","Not Eligible")</f>
        <v>Not Eligible</v>
      </c>
      <c r="U69" s="5" t="str">
        <f>IF(Banking_Data_100_Records[[#This Row],[Balance]]&gt;500000,"High Balance","Normal Balance")</f>
        <v>High Balance</v>
      </c>
      <c r="V69" s="5" t="str">
        <f>IF(Banking_Data_100_Records[[#This Row],[Loan Amount]]&gt;1000000,"High Value Customer","Regular Customer")</f>
        <v>High Value Customer</v>
      </c>
      <c r="W69" s="8" t="str">
        <v>Poor</v>
      </c>
      <c r="X69" s="8" t="str">
        <v>Silver</v>
      </c>
      <c r="Y69" s="9" t="str">
        <f>IF(AND(Banking_Data_100_Records[[#This Row],[Loan Status]]="Approved",Banking_Data_100_Records[[#This Row],[Credit Score]]&gt;=700)," Eligible","Not")</f>
        <v>Not</v>
      </c>
      <c r="Z69" s="9" t="str">
        <f>IF(AND(Banking_Data_100_Records[[#This Row],[Salary]]&gt;=80000,Banking_Data_100_Records[[#This Row],[Balance]]&gt;=300000),"Yes","No")</f>
        <v>No</v>
      </c>
      <c r="AA69" s="13" t="str">
        <f>IF(OR(Banking_Data_100_Records[[#This Row],[Salary]]&gt;=80000,Banking_Data_100_Records[[#This Row],[Balance]]&gt;=500000),"Special offer","Not")</f>
        <v>Special offer</v>
      </c>
      <c r="AB69" s="13" t="str">
        <f>IF(OR(Banking_Data_100_Records[[#This Row],[Loan Amount]]&gt;1500000,Banking_Data_100_Records[[#This Row],[Credit Score]]&gt;800),"Priority customer","Not")</f>
        <v>Priority customer</v>
      </c>
    </row>
    <row r="70" spans="1:28" x14ac:dyDescent="0.35">
      <c r="A70" s="1" t="s">
        <v>171</v>
      </c>
      <c r="B70" s="1" t="s">
        <v>172</v>
      </c>
      <c r="C70" s="1" t="s">
        <v>40</v>
      </c>
      <c r="D70" s="1" t="s">
        <v>29</v>
      </c>
      <c r="E70" s="1" t="s">
        <v>54</v>
      </c>
      <c r="F70">
        <v>53</v>
      </c>
      <c r="G70" s="1" t="s">
        <v>23</v>
      </c>
      <c r="H70">
        <v>1980000</v>
      </c>
      <c r="I70">
        <v>13.1</v>
      </c>
      <c r="J70">
        <v>54615</v>
      </c>
      <c r="K70">
        <v>48000</v>
      </c>
      <c r="L70">
        <v>480</v>
      </c>
      <c r="M70" s="1" t="s">
        <v>24</v>
      </c>
      <c r="N70" s="1" t="s">
        <v>25</v>
      </c>
      <c r="O70">
        <v>105000</v>
      </c>
      <c r="P70" s="2">
        <v>45746</v>
      </c>
      <c r="Q70">
        <v>920000</v>
      </c>
      <c r="R70" s="1" t="s">
        <v>60</v>
      </c>
      <c r="T70" s="5" t="str">
        <f>IF(AND(Banking_Data_100_Records[[#This Row],[Credit Score]]&gt;750,Banking_Data_100_Records[[#This Row],[Salary]]&gt;60000),"Eligible","Not Eligible")</f>
        <v>Not Eligible</v>
      </c>
      <c r="U70" s="5" t="str">
        <f>IF(Banking_Data_100_Records[[#This Row],[Balance]]&gt;500000,"High Balance","Normal Balance")</f>
        <v>High Balance</v>
      </c>
      <c r="V70" s="5" t="str">
        <f>IF(Banking_Data_100_Records[[#This Row],[Loan Amount]]&gt;1000000,"High Value Customer","Regular Customer")</f>
        <v>High Value Customer</v>
      </c>
      <c r="W70" s="8" t="str">
        <v>Poor</v>
      </c>
      <c r="X70" s="8" t="str">
        <v>Silver</v>
      </c>
      <c r="Y70" s="9" t="str">
        <f>IF(AND(Banking_Data_100_Records[[#This Row],[Loan Status]]="Approved",Banking_Data_100_Records[[#This Row],[Credit Score]]&gt;=700)," Eligible","Not")</f>
        <v>Not</v>
      </c>
      <c r="Z70" s="9" t="str">
        <f>IF(AND(Banking_Data_100_Records[[#This Row],[Salary]]&gt;=80000,Banking_Data_100_Records[[#This Row],[Balance]]&gt;=300000),"Yes","No")</f>
        <v>No</v>
      </c>
      <c r="AA70" s="13" t="str">
        <f>IF(OR(Banking_Data_100_Records[[#This Row],[Salary]]&gt;=80000,Banking_Data_100_Records[[#This Row],[Balance]]&gt;=500000),"Special offer","Not")</f>
        <v>Special offer</v>
      </c>
      <c r="AB70" s="13" t="str">
        <f>IF(OR(Banking_Data_100_Records[[#This Row],[Loan Amount]]&gt;1500000,Banking_Data_100_Records[[#This Row],[Credit Score]]&gt;800),"Priority customer","Not")</f>
        <v>Priority customer</v>
      </c>
    </row>
    <row r="71" spans="1:28" x14ac:dyDescent="0.35">
      <c r="A71" s="1" t="s">
        <v>173</v>
      </c>
      <c r="B71" s="1" t="s">
        <v>152</v>
      </c>
      <c r="C71" s="1" t="s">
        <v>40</v>
      </c>
      <c r="D71" s="1" t="s">
        <v>21</v>
      </c>
      <c r="E71" s="1" t="s">
        <v>54</v>
      </c>
      <c r="F71">
        <v>36</v>
      </c>
      <c r="G71" s="1" t="s">
        <v>23</v>
      </c>
      <c r="H71">
        <v>805000</v>
      </c>
      <c r="I71">
        <v>10.76</v>
      </c>
      <c r="J71">
        <v>20634.830000000002</v>
      </c>
      <c r="K71">
        <v>147000</v>
      </c>
      <c r="L71">
        <v>434</v>
      </c>
      <c r="M71" s="1" t="s">
        <v>24</v>
      </c>
      <c r="N71" s="1" t="s">
        <v>44</v>
      </c>
      <c r="O71">
        <v>32500</v>
      </c>
      <c r="P71" s="2">
        <v>45890</v>
      </c>
      <c r="Q71">
        <v>942000</v>
      </c>
      <c r="R71" s="1" t="s">
        <v>32</v>
      </c>
      <c r="T71" s="5" t="str">
        <f>IF(AND(Banking_Data_100_Records[[#This Row],[Credit Score]]&gt;750,Banking_Data_100_Records[[#This Row],[Salary]]&gt;60000),"Eligible","Not Eligible")</f>
        <v>Not Eligible</v>
      </c>
      <c r="U71" s="5" t="str">
        <f>IF(Banking_Data_100_Records[[#This Row],[Balance]]&gt;500000,"High Balance","Normal Balance")</f>
        <v>High Balance</v>
      </c>
      <c r="V71" s="5" t="str">
        <f>IF(Banking_Data_100_Records[[#This Row],[Loan Amount]]&gt;1000000,"High Value Customer","Regular Customer")</f>
        <v>Regular Customer</v>
      </c>
      <c r="W71" s="8" t="str">
        <v>Poor</v>
      </c>
      <c r="X71" s="8" t="str">
        <v>Platinum</v>
      </c>
      <c r="Y71" s="9" t="str">
        <f>IF(AND(Banking_Data_100_Records[[#This Row],[Loan Status]]="Approved",Banking_Data_100_Records[[#This Row],[Credit Score]]&gt;=700)," Eligible","Not")</f>
        <v>Not</v>
      </c>
      <c r="Z71" s="9" t="str">
        <f>IF(AND(Banking_Data_100_Records[[#This Row],[Salary]]&gt;=80000,Banking_Data_100_Records[[#This Row],[Balance]]&gt;=300000),"Yes","No")</f>
        <v>Yes</v>
      </c>
      <c r="AA71" s="13" t="str">
        <f>IF(OR(Banking_Data_100_Records[[#This Row],[Salary]]&gt;=80000,Banking_Data_100_Records[[#This Row],[Balance]]&gt;=500000),"Special offer","Not")</f>
        <v>Special offer</v>
      </c>
      <c r="AB71" s="13" t="str">
        <f>IF(OR(Banking_Data_100_Records[[#This Row],[Loan Amount]]&gt;1500000,Banking_Data_100_Records[[#This Row],[Credit Score]]&gt;800),"Priority customer","Not")</f>
        <v>Not</v>
      </c>
    </row>
    <row r="72" spans="1:28" x14ac:dyDescent="0.35">
      <c r="A72" s="1" t="s">
        <v>174</v>
      </c>
      <c r="B72" s="1" t="s">
        <v>90</v>
      </c>
      <c r="C72" s="1" t="s">
        <v>48</v>
      </c>
      <c r="D72" s="1" t="s">
        <v>21</v>
      </c>
      <c r="E72" s="1" t="s">
        <v>54</v>
      </c>
      <c r="F72">
        <v>30</v>
      </c>
      <c r="G72" s="1" t="s">
        <v>36</v>
      </c>
      <c r="H72">
        <v>1950000</v>
      </c>
      <c r="I72">
        <v>8.4700000000000006</v>
      </c>
      <c r="J72">
        <v>46263.75</v>
      </c>
      <c r="K72">
        <v>134000</v>
      </c>
      <c r="L72">
        <v>695</v>
      </c>
      <c r="M72" s="1" t="s">
        <v>37</v>
      </c>
      <c r="N72" s="1" t="s">
        <v>31</v>
      </c>
      <c r="O72">
        <v>187000</v>
      </c>
      <c r="P72" s="2">
        <v>45999</v>
      </c>
      <c r="Q72">
        <v>813000</v>
      </c>
      <c r="R72" s="1" t="s">
        <v>32</v>
      </c>
      <c r="T72" s="5" t="str">
        <f>IF(AND(Banking_Data_100_Records[[#This Row],[Credit Score]]&gt;750,Banking_Data_100_Records[[#This Row],[Salary]]&gt;60000),"Eligible","Not Eligible")</f>
        <v>Not Eligible</v>
      </c>
      <c r="U72" s="5" t="str">
        <f>IF(Banking_Data_100_Records[[#This Row],[Balance]]&gt;500000,"High Balance","Normal Balance")</f>
        <v>High Balance</v>
      </c>
      <c r="V72" s="5" t="str">
        <f>IF(Banking_Data_100_Records[[#This Row],[Loan Amount]]&gt;1000000,"High Value Customer","Regular Customer")</f>
        <v>High Value Customer</v>
      </c>
      <c r="W72" s="8" t="str">
        <v>Average</v>
      </c>
      <c r="X72" s="8" t="str">
        <v>Platinum</v>
      </c>
      <c r="Y72" s="9" t="str">
        <f>IF(AND(Banking_Data_100_Records[[#This Row],[Loan Status]]="Approved",Banking_Data_100_Records[[#This Row],[Credit Score]]&gt;=700)," Eligible","Not")</f>
        <v>Not</v>
      </c>
      <c r="Z72" s="9" t="str">
        <f>IF(AND(Banking_Data_100_Records[[#This Row],[Salary]]&gt;=80000,Banking_Data_100_Records[[#This Row],[Balance]]&gt;=300000),"Yes","No")</f>
        <v>Yes</v>
      </c>
      <c r="AA72" s="13" t="str">
        <f>IF(OR(Banking_Data_100_Records[[#This Row],[Salary]]&gt;=80000,Banking_Data_100_Records[[#This Row],[Balance]]&gt;=500000),"Special offer","Not")</f>
        <v>Special offer</v>
      </c>
      <c r="AB72" s="13" t="str">
        <f>IF(OR(Banking_Data_100_Records[[#This Row],[Loan Amount]]&gt;1500000,Banking_Data_100_Records[[#This Row],[Credit Score]]&gt;800),"Priority customer","Not")</f>
        <v>Priority customer</v>
      </c>
    </row>
    <row r="73" spans="1:28" x14ac:dyDescent="0.35">
      <c r="A73" s="1" t="s">
        <v>175</v>
      </c>
      <c r="B73" s="1" t="s">
        <v>176</v>
      </c>
      <c r="C73" s="1" t="s">
        <v>35</v>
      </c>
      <c r="D73" s="1" t="s">
        <v>29</v>
      </c>
      <c r="E73" s="1" t="s">
        <v>22</v>
      </c>
      <c r="F73">
        <v>53</v>
      </c>
      <c r="G73" s="1" t="s">
        <v>57</v>
      </c>
      <c r="H73">
        <v>1790000</v>
      </c>
      <c r="I73">
        <v>7.48</v>
      </c>
      <c r="J73">
        <v>40991</v>
      </c>
      <c r="K73">
        <v>44000</v>
      </c>
      <c r="L73">
        <v>718</v>
      </c>
      <c r="M73" s="1" t="s">
        <v>24</v>
      </c>
      <c r="N73" s="1" t="s">
        <v>44</v>
      </c>
      <c r="O73">
        <v>33000</v>
      </c>
      <c r="P73" s="2">
        <v>45807</v>
      </c>
      <c r="Q73">
        <v>633000</v>
      </c>
      <c r="R73" s="1" t="s">
        <v>45</v>
      </c>
      <c r="T73" s="5" t="str">
        <f>IF(AND(Banking_Data_100_Records[[#This Row],[Credit Score]]&gt;750,Banking_Data_100_Records[[#This Row],[Salary]]&gt;60000),"Eligible","Not Eligible")</f>
        <v>Not Eligible</v>
      </c>
      <c r="U73" s="5" t="str">
        <f>IF(Banking_Data_100_Records[[#This Row],[Balance]]&gt;500000,"High Balance","Normal Balance")</f>
        <v>High Balance</v>
      </c>
      <c r="V73" s="5" t="str">
        <f>IF(Banking_Data_100_Records[[#This Row],[Loan Amount]]&gt;1000000,"High Value Customer","Regular Customer")</f>
        <v>High Value Customer</v>
      </c>
      <c r="W73" s="8" t="str">
        <v>Good</v>
      </c>
      <c r="X73" s="8" t="str">
        <v>Silver</v>
      </c>
      <c r="Y73" s="9" t="str">
        <f>IF(AND(Banking_Data_100_Records[[#This Row],[Loan Status]]="Approved",Banking_Data_100_Records[[#This Row],[Credit Score]]&gt;=700)," Eligible","Not")</f>
        <v>Not</v>
      </c>
      <c r="Z73" s="9" t="str">
        <f>IF(AND(Banking_Data_100_Records[[#This Row],[Salary]]&gt;=80000,Banking_Data_100_Records[[#This Row],[Balance]]&gt;=300000),"Yes","No")</f>
        <v>No</v>
      </c>
      <c r="AA73" s="13" t="str">
        <f>IF(OR(Banking_Data_100_Records[[#This Row],[Salary]]&gt;=80000,Banking_Data_100_Records[[#This Row],[Balance]]&gt;=500000),"Special offer","Not")</f>
        <v>Special offer</v>
      </c>
      <c r="AB73" s="13" t="str">
        <f>IF(OR(Banking_Data_100_Records[[#This Row],[Loan Amount]]&gt;1500000,Banking_Data_100_Records[[#This Row],[Credit Score]]&gt;800),"Priority customer","Not")</f>
        <v>Priority customer</v>
      </c>
    </row>
    <row r="74" spans="1:28" x14ac:dyDescent="0.35">
      <c r="A74" s="1" t="s">
        <v>177</v>
      </c>
      <c r="B74" s="1" t="s">
        <v>178</v>
      </c>
      <c r="C74" s="1" t="s">
        <v>35</v>
      </c>
      <c r="D74" s="1" t="s">
        <v>29</v>
      </c>
      <c r="E74" s="1" t="s">
        <v>22</v>
      </c>
      <c r="F74">
        <v>42</v>
      </c>
      <c r="G74" s="1" t="s">
        <v>41</v>
      </c>
      <c r="H74">
        <v>730000</v>
      </c>
      <c r="I74">
        <v>13.67</v>
      </c>
      <c r="J74">
        <v>20482.580000000002</v>
      </c>
      <c r="K74">
        <v>87000</v>
      </c>
      <c r="L74">
        <v>657</v>
      </c>
      <c r="M74" s="1" t="s">
        <v>24</v>
      </c>
      <c r="N74" s="1" t="s">
        <v>25</v>
      </c>
      <c r="O74">
        <v>43000</v>
      </c>
      <c r="P74" s="2">
        <v>45930</v>
      </c>
      <c r="Q74">
        <v>459000</v>
      </c>
      <c r="R74" s="1" t="s">
        <v>51</v>
      </c>
      <c r="T74" s="5" t="str">
        <f>IF(AND(Banking_Data_100_Records[[#This Row],[Credit Score]]&gt;750,Banking_Data_100_Records[[#This Row],[Salary]]&gt;60000),"Eligible","Not Eligible")</f>
        <v>Not Eligible</v>
      </c>
      <c r="U74" s="5" t="str">
        <f>IF(Banking_Data_100_Records[[#This Row],[Balance]]&gt;500000,"High Balance","Normal Balance")</f>
        <v>Normal Balance</v>
      </c>
      <c r="V74" s="5" t="str">
        <f>IF(Banking_Data_100_Records[[#This Row],[Loan Amount]]&gt;1000000,"High Value Customer","Regular Customer")</f>
        <v>Regular Customer</v>
      </c>
      <c r="W74" s="8" t="str">
        <v>Average</v>
      </c>
      <c r="X74" s="8" t="str">
        <v>Gold</v>
      </c>
      <c r="Y74" s="9" t="str">
        <f>IF(AND(Banking_Data_100_Records[[#This Row],[Loan Status]]="Approved",Banking_Data_100_Records[[#This Row],[Credit Score]]&gt;=700)," Eligible","Not")</f>
        <v>Not</v>
      </c>
      <c r="Z74" s="9" t="str">
        <f>IF(AND(Banking_Data_100_Records[[#This Row],[Salary]]&gt;=80000,Banking_Data_100_Records[[#This Row],[Balance]]&gt;=300000),"Yes","No")</f>
        <v>Yes</v>
      </c>
      <c r="AA74" s="13" t="str">
        <f>IF(OR(Banking_Data_100_Records[[#This Row],[Salary]]&gt;=80000,Banking_Data_100_Records[[#This Row],[Balance]]&gt;=500000),"Special offer","Not")</f>
        <v>Special offer</v>
      </c>
      <c r="AB74" s="13" t="str">
        <f>IF(OR(Banking_Data_100_Records[[#This Row],[Loan Amount]]&gt;1500000,Banking_Data_100_Records[[#This Row],[Credit Score]]&gt;800),"Priority customer","Not")</f>
        <v>Not</v>
      </c>
    </row>
    <row r="75" spans="1:28" x14ac:dyDescent="0.35">
      <c r="A75" s="1" t="s">
        <v>179</v>
      </c>
      <c r="B75" s="1" t="s">
        <v>180</v>
      </c>
      <c r="C75" s="1" t="s">
        <v>48</v>
      </c>
      <c r="D75" s="1" t="s">
        <v>21</v>
      </c>
      <c r="E75" s="1" t="s">
        <v>54</v>
      </c>
      <c r="F75">
        <v>22</v>
      </c>
      <c r="G75" s="1" t="s">
        <v>57</v>
      </c>
      <c r="H75">
        <v>1515000</v>
      </c>
      <c r="I75">
        <v>12.99</v>
      </c>
      <c r="J75">
        <v>41649.879999999997</v>
      </c>
      <c r="K75">
        <v>29000</v>
      </c>
      <c r="L75">
        <v>790</v>
      </c>
      <c r="M75" s="1" t="s">
        <v>37</v>
      </c>
      <c r="N75" s="1" t="s">
        <v>25</v>
      </c>
      <c r="O75">
        <v>169500</v>
      </c>
      <c r="P75" s="2">
        <v>45695</v>
      </c>
      <c r="Q75">
        <v>390000</v>
      </c>
      <c r="R75" s="1" t="s">
        <v>51</v>
      </c>
      <c r="T75" s="5" t="str">
        <f>IF(AND(Banking_Data_100_Records[[#This Row],[Credit Score]]&gt;750,Banking_Data_100_Records[[#This Row],[Salary]]&gt;60000),"Eligible","Not Eligible")</f>
        <v>Not Eligible</v>
      </c>
      <c r="U75" s="5" t="str">
        <f>IF(Banking_Data_100_Records[[#This Row],[Balance]]&gt;500000,"High Balance","Normal Balance")</f>
        <v>Normal Balance</v>
      </c>
      <c r="V75" s="5" t="str">
        <f>IF(Banking_Data_100_Records[[#This Row],[Loan Amount]]&gt;1000000,"High Value Customer","Regular Customer")</f>
        <v>High Value Customer</v>
      </c>
      <c r="W75" s="8" t="str">
        <v>Good</v>
      </c>
      <c r="X75" s="8" t="str">
        <v>Bronze</v>
      </c>
      <c r="Y75" s="9" t="str">
        <f>IF(AND(Banking_Data_100_Records[[#This Row],[Loan Status]]="Approved",Banking_Data_100_Records[[#This Row],[Credit Score]]&gt;=700)," Eligible","Not")</f>
        <v xml:space="preserve"> Eligible</v>
      </c>
      <c r="Z75" s="9" t="str">
        <f>IF(AND(Banking_Data_100_Records[[#This Row],[Salary]]&gt;=80000,Banking_Data_100_Records[[#This Row],[Balance]]&gt;=300000),"Yes","No")</f>
        <v>No</v>
      </c>
      <c r="AA75" s="13" t="str">
        <f>IF(OR(Banking_Data_100_Records[[#This Row],[Salary]]&gt;=80000,Banking_Data_100_Records[[#This Row],[Balance]]&gt;=500000),"Special offer","Not")</f>
        <v>Not</v>
      </c>
      <c r="AB75" s="13" t="str">
        <f>IF(OR(Banking_Data_100_Records[[#This Row],[Loan Amount]]&gt;1500000,Banking_Data_100_Records[[#This Row],[Credit Score]]&gt;800),"Priority customer","Not")</f>
        <v>Priority customer</v>
      </c>
    </row>
    <row r="76" spans="1:28" x14ac:dyDescent="0.35">
      <c r="A76" s="1" t="s">
        <v>181</v>
      </c>
      <c r="B76" s="1" t="s">
        <v>156</v>
      </c>
      <c r="C76" s="1" t="s">
        <v>40</v>
      </c>
      <c r="D76" s="1" t="s">
        <v>21</v>
      </c>
      <c r="E76" s="1" t="s">
        <v>54</v>
      </c>
      <c r="F76">
        <v>56</v>
      </c>
      <c r="G76" s="1" t="s">
        <v>41</v>
      </c>
      <c r="H76">
        <v>1485000</v>
      </c>
      <c r="I76">
        <v>10</v>
      </c>
      <c r="J76">
        <v>37125</v>
      </c>
      <c r="K76">
        <v>44000</v>
      </c>
      <c r="L76">
        <v>881</v>
      </c>
      <c r="M76" s="1" t="s">
        <v>37</v>
      </c>
      <c r="N76" s="1" t="s">
        <v>31</v>
      </c>
      <c r="O76">
        <v>160500</v>
      </c>
      <c r="P76" s="2">
        <v>45983</v>
      </c>
      <c r="Q76">
        <v>162000</v>
      </c>
      <c r="R76" s="1" t="s">
        <v>26</v>
      </c>
      <c r="T76" s="5" t="str">
        <f>IF(AND(Banking_Data_100_Records[[#This Row],[Credit Score]]&gt;750,Banking_Data_100_Records[[#This Row],[Salary]]&gt;60000),"Eligible","Not Eligible")</f>
        <v>Not Eligible</v>
      </c>
      <c r="U76" s="5" t="str">
        <f>IF(Banking_Data_100_Records[[#This Row],[Balance]]&gt;500000,"High Balance","Normal Balance")</f>
        <v>Normal Balance</v>
      </c>
      <c r="V76" s="5" t="str">
        <f>IF(Banking_Data_100_Records[[#This Row],[Loan Amount]]&gt;1000000,"High Value Customer","Regular Customer")</f>
        <v>High Value Customer</v>
      </c>
      <c r="W76" s="8" t="str">
        <v>Excellent</v>
      </c>
      <c r="X76" s="8" t="str">
        <v>Silver</v>
      </c>
      <c r="Y76" s="9" t="str">
        <f>IF(AND(Banking_Data_100_Records[[#This Row],[Loan Status]]="Approved",Banking_Data_100_Records[[#This Row],[Credit Score]]&gt;=700)," Eligible","Not")</f>
        <v xml:space="preserve"> Eligible</v>
      </c>
      <c r="Z76" s="9" t="str">
        <f>IF(AND(Banking_Data_100_Records[[#This Row],[Salary]]&gt;=80000,Banking_Data_100_Records[[#This Row],[Balance]]&gt;=300000),"Yes","No")</f>
        <v>No</v>
      </c>
      <c r="AA76" s="13" t="str">
        <f>IF(OR(Banking_Data_100_Records[[#This Row],[Salary]]&gt;=80000,Banking_Data_100_Records[[#This Row],[Balance]]&gt;=500000),"Special offer","Not")</f>
        <v>Not</v>
      </c>
      <c r="AB76" s="13" t="str">
        <f>IF(OR(Banking_Data_100_Records[[#This Row],[Loan Amount]]&gt;1500000,Banking_Data_100_Records[[#This Row],[Credit Score]]&gt;800),"Priority customer","Not")</f>
        <v>Priority customer</v>
      </c>
    </row>
    <row r="77" spans="1:28" x14ac:dyDescent="0.35">
      <c r="A77" s="1" t="s">
        <v>182</v>
      </c>
      <c r="B77" s="1" t="s">
        <v>183</v>
      </c>
      <c r="C77" s="1" t="s">
        <v>20</v>
      </c>
      <c r="D77" s="1" t="s">
        <v>29</v>
      </c>
      <c r="E77" s="1" t="s">
        <v>22</v>
      </c>
      <c r="F77">
        <v>21</v>
      </c>
      <c r="G77" s="1" t="s">
        <v>41</v>
      </c>
      <c r="H77">
        <v>710000</v>
      </c>
      <c r="I77">
        <v>8.65</v>
      </c>
      <c r="J77">
        <v>16951.25</v>
      </c>
      <c r="K77">
        <v>84000</v>
      </c>
      <c r="L77">
        <v>762</v>
      </c>
      <c r="M77" s="1" t="s">
        <v>37</v>
      </c>
      <c r="N77" s="1" t="s">
        <v>44</v>
      </c>
      <c r="O77">
        <v>94500</v>
      </c>
      <c r="P77" s="2">
        <v>45908</v>
      </c>
      <c r="Q77">
        <v>469000</v>
      </c>
      <c r="R77" s="1" t="s">
        <v>51</v>
      </c>
      <c r="T77" s="5" t="str">
        <f>IF(AND(Banking_Data_100_Records[[#This Row],[Credit Score]]&gt;750,Banking_Data_100_Records[[#This Row],[Salary]]&gt;60000),"Eligible","Not Eligible")</f>
        <v>Eligible</v>
      </c>
      <c r="U77" s="5" t="str">
        <f>IF(Banking_Data_100_Records[[#This Row],[Balance]]&gt;500000,"High Balance","Normal Balance")</f>
        <v>Normal Balance</v>
      </c>
      <c r="V77" s="5" t="str">
        <f>IF(Banking_Data_100_Records[[#This Row],[Loan Amount]]&gt;1000000,"High Value Customer","Regular Customer")</f>
        <v>Regular Customer</v>
      </c>
      <c r="W77" s="8" t="str">
        <v>Good</v>
      </c>
      <c r="X77" s="8" t="str">
        <v>Gold</v>
      </c>
      <c r="Y77" s="9" t="str">
        <f>IF(AND(Banking_Data_100_Records[[#This Row],[Loan Status]]="Approved",Banking_Data_100_Records[[#This Row],[Credit Score]]&gt;=700)," Eligible","Not")</f>
        <v xml:space="preserve"> Eligible</v>
      </c>
      <c r="Z77" s="9" t="str">
        <f>IF(AND(Banking_Data_100_Records[[#This Row],[Salary]]&gt;=80000,Banking_Data_100_Records[[#This Row],[Balance]]&gt;=300000),"Yes","No")</f>
        <v>Yes</v>
      </c>
      <c r="AA77" s="13" t="str">
        <f>IF(OR(Banking_Data_100_Records[[#This Row],[Salary]]&gt;=80000,Banking_Data_100_Records[[#This Row],[Balance]]&gt;=500000),"Special offer","Not")</f>
        <v>Special offer</v>
      </c>
      <c r="AB77" s="13" t="str">
        <f>IF(OR(Banking_Data_100_Records[[#This Row],[Loan Amount]]&gt;1500000,Banking_Data_100_Records[[#This Row],[Credit Score]]&gt;800),"Priority customer","Not")</f>
        <v>Not</v>
      </c>
    </row>
    <row r="78" spans="1:28" x14ac:dyDescent="0.35">
      <c r="A78" s="1" t="s">
        <v>184</v>
      </c>
      <c r="B78" s="1" t="s">
        <v>134</v>
      </c>
      <c r="C78" s="1" t="s">
        <v>48</v>
      </c>
      <c r="D78" s="1" t="s">
        <v>21</v>
      </c>
      <c r="E78" s="1" t="s">
        <v>22</v>
      </c>
      <c r="F78">
        <v>57</v>
      </c>
      <c r="G78" s="1" t="s">
        <v>41</v>
      </c>
      <c r="H78">
        <v>1320000</v>
      </c>
      <c r="I78">
        <v>8.3000000000000007</v>
      </c>
      <c r="J78">
        <v>31130</v>
      </c>
      <c r="K78">
        <v>62000</v>
      </c>
      <c r="L78">
        <v>415</v>
      </c>
      <c r="M78" s="1" t="s">
        <v>30</v>
      </c>
      <c r="N78" s="1" t="s">
        <v>44</v>
      </c>
      <c r="O78">
        <v>48000</v>
      </c>
      <c r="P78" s="2">
        <v>45794</v>
      </c>
      <c r="Q78">
        <v>315000</v>
      </c>
      <c r="R78" s="1" t="s">
        <v>60</v>
      </c>
      <c r="T78" s="5" t="str">
        <f>IF(AND(Banking_Data_100_Records[[#This Row],[Credit Score]]&gt;750,Banking_Data_100_Records[[#This Row],[Salary]]&gt;60000),"Eligible","Not Eligible")</f>
        <v>Not Eligible</v>
      </c>
      <c r="U78" s="5" t="str">
        <f>IF(Banking_Data_100_Records[[#This Row],[Balance]]&gt;500000,"High Balance","Normal Balance")</f>
        <v>Normal Balance</v>
      </c>
      <c r="V78" s="5" t="str">
        <f>IF(Banking_Data_100_Records[[#This Row],[Loan Amount]]&gt;1000000,"High Value Customer","Regular Customer")</f>
        <v>High Value Customer</v>
      </c>
      <c r="W78" s="8" t="str">
        <v>Poor</v>
      </c>
      <c r="X78" s="8" t="str">
        <v>Silver</v>
      </c>
      <c r="Y78" s="9" t="str">
        <f>IF(AND(Banking_Data_100_Records[[#This Row],[Loan Status]]="Approved",Banking_Data_100_Records[[#This Row],[Credit Score]]&gt;=700)," Eligible","Not")</f>
        <v>Not</v>
      </c>
      <c r="Z78" s="9" t="str">
        <f>IF(AND(Banking_Data_100_Records[[#This Row],[Salary]]&gt;=80000,Banking_Data_100_Records[[#This Row],[Balance]]&gt;=300000),"Yes","No")</f>
        <v>No</v>
      </c>
      <c r="AA78" s="13" t="str">
        <f>IF(OR(Banking_Data_100_Records[[#This Row],[Salary]]&gt;=80000,Banking_Data_100_Records[[#This Row],[Balance]]&gt;=500000),"Special offer","Not")</f>
        <v>Not</v>
      </c>
      <c r="AB78" s="13" t="str">
        <f>IF(OR(Banking_Data_100_Records[[#This Row],[Loan Amount]]&gt;1500000,Banking_Data_100_Records[[#This Row],[Credit Score]]&gt;800),"Priority customer","Not")</f>
        <v>Not</v>
      </c>
    </row>
    <row r="79" spans="1:28" x14ac:dyDescent="0.35">
      <c r="A79" s="1" t="s">
        <v>185</v>
      </c>
      <c r="B79" s="1" t="s">
        <v>186</v>
      </c>
      <c r="C79" s="1" t="s">
        <v>71</v>
      </c>
      <c r="D79" s="1" t="s">
        <v>21</v>
      </c>
      <c r="E79" s="1" t="s">
        <v>22</v>
      </c>
      <c r="F79">
        <v>27</v>
      </c>
      <c r="G79" s="1" t="s">
        <v>23</v>
      </c>
      <c r="H79">
        <v>170000</v>
      </c>
      <c r="I79">
        <v>9.08</v>
      </c>
      <c r="J79">
        <v>4119.67</v>
      </c>
      <c r="K79">
        <v>131000</v>
      </c>
      <c r="L79">
        <v>482</v>
      </c>
      <c r="M79" s="1" t="s">
        <v>24</v>
      </c>
      <c r="N79" s="1" t="s">
        <v>31</v>
      </c>
      <c r="O79">
        <v>30500</v>
      </c>
      <c r="P79" s="2">
        <v>45687</v>
      </c>
      <c r="Q79">
        <v>183000</v>
      </c>
      <c r="R79" s="1" t="s">
        <v>32</v>
      </c>
      <c r="T79" s="5" t="str">
        <f>IF(AND(Banking_Data_100_Records[[#This Row],[Credit Score]]&gt;750,Banking_Data_100_Records[[#This Row],[Salary]]&gt;60000),"Eligible","Not Eligible")</f>
        <v>Not Eligible</v>
      </c>
      <c r="U79" s="5" t="str">
        <f>IF(Banking_Data_100_Records[[#This Row],[Balance]]&gt;500000,"High Balance","Normal Balance")</f>
        <v>Normal Balance</v>
      </c>
      <c r="V79" s="5" t="str">
        <f>IF(Banking_Data_100_Records[[#This Row],[Loan Amount]]&gt;1000000,"High Value Customer","Regular Customer")</f>
        <v>Regular Customer</v>
      </c>
      <c r="W79" s="8" t="str">
        <v>Poor</v>
      </c>
      <c r="X79" s="8" t="str">
        <v>Platinum</v>
      </c>
      <c r="Y79" s="9" t="str">
        <f>IF(AND(Banking_Data_100_Records[[#This Row],[Loan Status]]="Approved",Banking_Data_100_Records[[#This Row],[Credit Score]]&gt;=700)," Eligible","Not")</f>
        <v>Not</v>
      </c>
      <c r="Z79" s="9" t="str">
        <f>IF(AND(Banking_Data_100_Records[[#This Row],[Salary]]&gt;=80000,Banking_Data_100_Records[[#This Row],[Balance]]&gt;=300000),"Yes","No")</f>
        <v>No</v>
      </c>
      <c r="AA79" s="13" t="str">
        <f>IF(OR(Banking_Data_100_Records[[#This Row],[Salary]]&gt;=80000,Banking_Data_100_Records[[#This Row],[Balance]]&gt;=500000),"Special offer","Not")</f>
        <v>Special offer</v>
      </c>
      <c r="AB79" s="13" t="str">
        <f>IF(OR(Banking_Data_100_Records[[#This Row],[Loan Amount]]&gt;1500000,Banking_Data_100_Records[[#This Row],[Credit Score]]&gt;800),"Priority customer","Not")</f>
        <v>Not</v>
      </c>
    </row>
    <row r="80" spans="1:28" x14ac:dyDescent="0.35">
      <c r="A80" s="1" t="s">
        <v>187</v>
      </c>
      <c r="B80" s="1" t="s">
        <v>188</v>
      </c>
      <c r="C80" s="1" t="s">
        <v>71</v>
      </c>
      <c r="D80" s="1" t="s">
        <v>21</v>
      </c>
      <c r="E80" s="1" t="s">
        <v>54</v>
      </c>
      <c r="F80">
        <v>22</v>
      </c>
      <c r="G80" s="1" t="s">
        <v>23</v>
      </c>
      <c r="H80">
        <v>1305000</v>
      </c>
      <c r="I80">
        <v>13.62</v>
      </c>
      <c r="J80">
        <v>36561.75</v>
      </c>
      <c r="K80">
        <v>110000</v>
      </c>
      <c r="L80">
        <v>819</v>
      </c>
      <c r="M80" s="1" t="s">
        <v>37</v>
      </c>
      <c r="N80" s="1" t="s">
        <v>44</v>
      </c>
      <c r="O80">
        <v>35000</v>
      </c>
      <c r="P80" s="2">
        <v>46005</v>
      </c>
      <c r="Q80">
        <v>817000</v>
      </c>
      <c r="R80" s="1" t="s">
        <v>45</v>
      </c>
      <c r="T80" s="5" t="str">
        <f>IF(AND(Banking_Data_100_Records[[#This Row],[Credit Score]]&gt;750,Banking_Data_100_Records[[#This Row],[Salary]]&gt;60000),"Eligible","Not Eligible")</f>
        <v>Eligible</v>
      </c>
      <c r="U80" s="5" t="str">
        <f>IF(Banking_Data_100_Records[[#This Row],[Balance]]&gt;500000,"High Balance","Normal Balance")</f>
        <v>High Balance</v>
      </c>
      <c r="V80" s="5" t="str">
        <f>IF(Banking_Data_100_Records[[#This Row],[Loan Amount]]&gt;1000000,"High Value Customer","Regular Customer")</f>
        <v>High Value Customer</v>
      </c>
      <c r="W80" s="8" t="str">
        <v>Excellent</v>
      </c>
      <c r="X80" s="8" t="str">
        <v>Platinum</v>
      </c>
      <c r="Y80" s="9" t="str">
        <f>IF(AND(Banking_Data_100_Records[[#This Row],[Loan Status]]="Approved",Banking_Data_100_Records[[#This Row],[Credit Score]]&gt;=700)," Eligible","Not")</f>
        <v xml:space="preserve"> Eligible</v>
      </c>
      <c r="Z80" s="9" t="str">
        <f>IF(AND(Banking_Data_100_Records[[#This Row],[Salary]]&gt;=80000,Banking_Data_100_Records[[#This Row],[Balance]]&gt;=300000),"Yes","No")</f>
        <v>Yes</v>
      </c>
      <c r="AA80" s="13" t="str">
        <f>IF(OR(Banking_Data_100_Records[[#This Row],[Salary]]&gt;=80000,Banking_Data_100_Records[[#This Row],[Balance]]&gt;=500000),"Special offer","Not")</f>
        <v>Special offer</v>
      </c>
      <c r="AB80" s="13" t="str">
        <f>IF(OR(Banking_Data_100_Records[[#This Row],[Loan Amount]]&gt;1500000,Banking_Data_100_Records[[#This Row],[Credit Score]]&gt;800),"Priority customer","Not")</f>
        <v>Priority customer</v>
      </c>
    </row>
    <row r="81" spans="1:28" x14ac:dyDescent="0.35">
      <c r="A81" s="1" t="s">
        <v>189</v>
      </c>
      <c r="B81" s="1" t="s">
        <v>99</v>
      </c>
      <c r="C81" s="1" t="s">
        <v>35</v>
      </c>
      <c r="D81" s="1" t="s">
        <v>29</v>
      </c>
      <c r="E81" s="1" t="s">
        <v>54</v>
      </c>
      <c r="F81">
        <v>50</v>
      </c>
      <c r="G81" s="1" t="s">
        <v>57</v>
      </c>
      <c r="H81">
        <v>515000</v>
      </c>
      <c r="I81">
        <v>11.73</v>
      </c>
      <c r="J81">
        <v>13617.46</v>
      </c>
      <c r="K81">
        <v>55000</v>
      </c>
      <c r="L81">
        <v>516</v>
      </c>
      <c r="M81" s="1" t="s">
        <v>24</v>
      </c>
      <c r="N81" s="1" t="s">
        <v>44</v>
      </c>
      <c r="O81">
        <v>14000</v>
      </c>
      <c r="P81" s="2">
        <v>45812</v>
      </c>
      <c r="Q81">
        <v>338000</v>
      </c>
      <c r="R81" s="1" t="s">
        <v>60</v>
      </c>
      <c r="T81" s="5" t="str">
        <f>IF(AND(Banking_Data_100_Records[[#This Row],[Credit Score]]&gt;750,Banking_Data_100_Records[[#This Row],[Salary]]&gt;60000),"Eligible","Not Eligible")</f>
        <v>Not Eligible</v>
      </c>
      <c r="U81" s="5" t="str">
        <f>IF(Banking_Data_100_Records[[#This Row],[Balance]]&gt;500000,"High Balance","Normal Balance")</f>
        <v>Normal Balance</v>
      </c>
      <c r="V81" s="5" t="str">
        <f>IF(Banking_Data_100_Records[[#This Row],[Loan Amount]]&gt;1000000,"High Value Customer","Regular Customer")</f>
        <v>Regular Customer</v>
      </c>
      <c r="W81" s="8" t="str">
        <v>Poor</v>
      </c>
      <c r="X81" s="8" t="str">
        <v>Silver</v>
      </c>
      <c r="Y81" s="9" t="str">
        <f>IF(AND(Banking_Data_100_Records[[#This Row],[Loan Status]]="Approved",Banking_Data_100_Records[[#This Row],[Credit Score]]&gt;=700)," Eligible","Not")</f>
        <v>Not</v>
      </c>
      <c r="Z81" s="9" t="str">
        <f>IF(AND(Banking_Data_100_Records[[#This Row],[Salary]]&gt;=80000,Banking_Data_100_Records[[#This Row],[Balance]]&gt;=300000),"Yes","No")</f>
        <v>No</v>
      </c>
      <c r="AA81" s="13" t="str">
        <f>IF(OR(Banking_Data_100_Records[[#This Row],[Salary]]&gt;=80000,Banking_Data_100_Records[[#This Row],[Balance]]&gt;=500000),"Special offer","Not")</f>
        <v>Not</v>
      </c>
      <c r="AB81" s="13" t="str">
        <f>IF(OR(Banking_Data_100_Records[[#This Row],[Loan Amount]]&gt;1500000,Banking_Data_100_Records[[#This Row],[Credit Score]]&gt;800),"Priority customer","Not")</f>
        <v>Not</v>
      </c>
    </row>
    <row r="82" spans="1:28" x14ac:dyDescent="0.35">
      <c r="A82" s="1" t="s">
        <v>190</v>
      </c>
      <c r="B82" s="1" t="s">
        <v>191</v>
      </c>
      <c r="C82" s="1" t="s">
        <v>35</v>
      </c>
      <c r="D82" s="1" t="s">
        <v>21</v>
      </c>
      <c r="E82" s="1" t="s">
        <v>54</v>
      </c>
      <c r="F82">
        <v>50</v>
      </c>
      <c r="G82" s="1" t="s">
        <v>57</v>
      </c>
      <c r="H82">
        <v>790000</v>
      </c>
      <c r="I82">
        <v>10.94</v>
      </c>
      <c r="J82">
        <v>20368.830000000002</v>
      </c>
      <c r="K82">
        <v>26000</v>
      </c>
      <c r="L82">
        <v>576</v>
      </c>
      <c r="M82" s="1" t="s">
        <v>30</v>
      </c>
      <c r="N82" s="1" t="s">
        <v>25</v>
      </c>
      <c r="O82">
        <v>189500</v>
      </c>
      <c r="P82" s="2">
        <v>46000</v>
      </c>
      <c r="Q82">
        <v>449000</v>
      </c>
      <c r="R82" s="1" t="s">
        <v>26</v>
      </c>
      <c r="T82" s="5" t="str">
        <f>IF(AND(Banking_Data_100_Records[[#This Row],[Credit Score]]&gt;750,Banking_Data_100_Records[[#This Row],[Salary]]&gt;60000),"Eligible","Not Eligible")</f>
        <v>Not Eligible</v>
      </c>
      <c r="U82" s="5" t="str">
        <f>IF(Banking_Data_100_Records[[#This Row],[Balance]]&gt;500000,"High Balance","Normal Balance")</f>
        <v>Normal Balance</v>
      </c>
      <c r="V82" s="5" t="str">
        <f>IF(Banking_Data_100_Records[[#This Row],[Loan Amount]]&gt;1000000,"High Value Customer","Regular Customer")</f>
        <v>Regular Customer</v>
      </c>
      <c r="W82" s="8" t="str">
        <v>Poor</v>
      </c>
      <c r="X82" s="8" t="str">
        <v>Bronze</v>
      </c>
      <c r="Y82" s="9" t="str">
        <f>IF(AND(Banking_Data_100_Records[[#This Row],[Loan Status]]="Approved",Banking_Data_100_Records[[#This Row],[Credit Score]]&gt;=700)," Eligible","Not")</f>
        <v>Not</v>
      </c>
      <c r="Z82" s="9" t="str">
        <f>IF(AND(Banking_Data_100_Records[[#This Row],[Salary]]&gt;=80000,Banking_Data_100_Records[[#This Row],[Balance]]&gt;=300000),"Yes","No")</f>
        <v>No</v>
      </c>
      <c r="AA82" s="13" t="str">
        <f>IF(OR(Banking_Data_100_Records[[#This Row],[Salary]]&gt;=80000,Banking_Data_100_Records[[#This Row],[Balance]]&gt;=500000),"Special offer","Not")</f>
        <v>Not</v>
      </c>
      <c r="AB82" s="13" t="str">
        <f>IF(OR(Banking_Data_100_Records[[#This Row],[Loan Amount]]&gt;1500000,Banking_Data_100_Records[[#This Row],[Credit Score]]&gt;800),"Priority customer","Not")</f>
        <v>Not</v>
      </c>
    </row>
    <row r="83" spans="1:28" x14ac:dyDescent="0.35">
      <c r="A83" s="1" t="s">
        <v>192</v>
      </c>
      <c r="B83" s="1" t="s">
        <v>193</v>
      </c>
      <c r="C83" s="1" t="s">
        <v>40</v>
      </c>
      <c r="D83" s="1" t="s">
        <v>21</v>
      </c>
      <c r="E83" s="1" t="s">
        <v>22</v>
      </c>
      <c r="F83">
        <v>29</v>
      </c>
      <c r="G83" s="1" t="s">
        <v>57</v>
      </c>
      <c r="H83">
        <v>90000</v>
      </c>
      <c r="I83">
        <v>9.49</v>
      </c>
      <c r="J83">
        <v>2211.75</v>
      </c>
      <c r="K83">
        <v>136000</v>
      </c>
      <c r="L83">
        <v>778</v>
      </c>
      <c r="M83" s="1" t="s">
        <v>37</v>
      </c>
      <c r="N83" s="1" t="s">
        <v>44</v>
      </c>
      <c r="O83">
        <v>64000</v>
      </c>
      <c r="P83" s="2">
        <v>45956</v>
      </c>
      <c r="Q83">
        <v>770000</v>
      </c>
      <c r="R83" s="1" t="s">
        <v>51</v>
      </c>
      <c r="T83" s="5" t="str">
        <f>IF(AND(Banking_Data_100_Records[[#This Row],[Credit Score]]&gt;750,Banking_Data_100_Records[[#This Row],[Salary]]&gt;60000),"Eligible","Not Eligible")</f>
        <v>Eligible</v>
      </c>
      <c r="U83" s="5" t="str">
        <f>IF(Banking_Data_100_Records[[#This Row],[Balance]]&gt;500000,"High Balance","Normal Balance")</f>
        <v>High Balance</v>
      </c>
      <c r="V83" s="5" t="str">
        <f>IF(Banking_Data_100_Records[[#This Row],[Loan Amount]]&gt;1000000,"High Value Customer","Regular Customer")</f>
        <v>Regular Customer</v>
      </c>
      <c r="W83" s="8" t="str">
        <v>Good</v>
      </c>
      <c r="X83" s="8" t="str">
        <v>Platinum</v>
      </c>
      <c r="Y83" s="9" t="str">
        <f>IF(AND(Banking_Data_100_Records[[#This Row],[Loan Status]]="Approved",Banking_Data_100_Records[[#This Row],[Credit Score]]&gt;=700)," Eligible","Not")</f>
        <v xml:space="preserve"> Eligible</v>
      </c>
      <c r="Z83" s="9" t="str">
        <f>IF(AND(Banking_Data_100_Records[[#This Row],[Salary]]&gt;=80000,Banking_Data_100_Records[[#This Row],[Balance]]&gt;=300000),"Yes","No")</f>
        <v>Yes</v>
      </c>
      <c r="AA83" s="13" t="str">
        <f>IF(OR(Banking_Data_100_Records[[#This Row],[Salary]]&gt;=80000,Banking_Data_100_Records[[#This Row],[Balance]]&gt;=500000),"Special offer","Not")</f>
        <v>Special offer</v>
      </c>
      <c r="AB83" s="13" t="str">
        <f>IF(OR(Banking_Data_100_Records[[#This Row],[Loan Amount]]&gt;1500000,Banking_Data_100_Records[[#This Row],[Credit Score]]&gt;800),"Priority customer","Not")</f>
        <v>Not</v>
      </c>
    </row>
    <row r="84" spans="1:28" x14ac:dyDescent="0.35">
      <c r="A84" s="1" t="s">
        <v>194</v>
      </c>
      <c r="B84" s="1" t="s">
        <v>195</v>
      </c>
      <c r="C84" s="1" t="s">
        <v>40</v>
      </c>
      <c r="D84" s="1" t="s">
        <v>29</v>
      </c>
      <c r="E84" s="1" t="s">
        <v>54</v>
      </c>
      <c r="F84">
        <v>35</v>
      </c>
      <c r="G84" s="1" t="s">
        <v>41</v>
      </c>
      <c r="H84">
        <v>1395000</v>
      </c>
      <c r="I84">
        <v>9.07</v>
      </c>
      <c r="J84">
        <v>33793.879999999997</v>
      </c>
      <c r="K84">
        <v>87000</v>
      </c>
      <c r="L84">
        <v>369</v>
      </c>
      <c r="M84" s="1" t="s">
        <v>30</v>
      </c>
      <c r="N84" s="1" t="s">
        <v>25</v>
      </c>
      <c r="O84">
        <v>104500</v>
      </c>
      <c r="P84" s="2">
        <v>45759</v>
      </c>
      <c r="Q84">
        <v>376000</v>
      </c>
      <c r="R84" s="1" t="s">
        <v>51</v>
      </c>
      <c r="T84" s="5" t="str">
        <f>IF(AND(Banking_Data_100_Records[[#This Row],[Credit Score]]&gt;750,Banking_Data_100_Records[[#This Row],[Salary]]&gt;60000),"Eligible","Not Eligible")</f>
        <v>Not Eligible</v>
      </c>
      <c r="U84" s="5" t="str">
        <f>IF(Banking_Data_100_Records[[#This Row],[Balance]]&gt;500000,"High Balance","Normal Balance")</f>
        <v>Normal Balance</v>
      </c>
      <c r="V84" s="5" t="str">
        <f>IF(Banking_Data_100_Records[[#This Row],[Loan Amount]]&gt;1000000,"High Value Customer","Regular Customer")</f>
        <v>High Value Customer</v>
      </c>
      <c r="W84" s="8" t="str">
        <v>Poor</v>
      </c>
      <c r="X84" s="8" t="str">
        <v>Gold</v>
      </c>
      <c r="Y84" s="9" t="str">
        <f>IF(AND(Banking_Data_100_Records[[#This Row],[Loan Status]]="Approved",Banking_Data_100_Records[[#This Row],[Credit Score]]&gt;=700)," Eligible","Not")</f>
        <v>Not</v>
      </c>
      <c r="Z84" s="9" t="str">
        <f>IF(AND(Banking_Data_100_Records[[#This Row],[Salary]]&gt;=80000,Banking_Data_100_Records[[#This Row],[Balance]]&gt;=300000),"Yes","No")</f>
        <v>Yes</v>
      </c>
      <c r="AA84" s="13" t="str">
        <f>IF(OR(Banking_Data_100_Records[[#This Row],[Salary]]&gt;=80000,Banking_Data_100_Records[[#This Row],[Balance]]&gt;=500000),"Special offer","Not")</f>
        <v>Special offer</v>
      </c>
      <c r="AB84" s="13" t="str">
        <f>IF(OR(Banking_Data_100_Records[[#This Row],[Loan Amount]]&gt;1500000,Banking_Data_100_Records[[#This Row],[Credit Score]]&gt;800),"Priority customer","Not")</f>
        <v>Not</v>
      </c>
    </row>
    <row r="85" spans="1:28" x14ac:dyDescent="0.35">
      <c r="A85" s="1" t="s">
        <v>196</v>
      </c>
      <c r="B85" s="1" t="s">
        <v>73</v>
      </c>
      <c r="C85" s="1" t="s">
        <v>48</v>
      </c>
      <c r="D85" s="1" t="s">
        <v>21</v>
      </c>
      <c r="E85" s="1" t="s">
        <v>22</v>
      </c>
      <c r="F85">
        <v>33</v>
      </c>
      <c r="G85" s="1" t="s">
        <v>23</v>
      </c>
      <c r="H85">
        <v>1525000</v>
      </c>
      <c r="I85">
        <v>8.61</v>
      </c>
      <c r="J85">
        <v>36358.54</v>
      </c>
      <c r="K85">
        <v>113000</v>
      </c>
      <c r="L85">
        <v>464</v>
      </c>
      <c r="M85" s="1" t="s">
        <v>24</v>
      </c>
      <c r="N85" s="1" t="s">
        <v>25</v>
      </c>
      <c r="O85">
        <v>26500</v>
      </c>
      <c r="P85" s="2">
        <v>45978</v>
      </c>
      <c r="Q85">
        <v>30000</v>
      </c>
      <c r="R85" s="1" t="s">
        <v>51</v>
      </c>
      <c r="T85" s="5" t="str">
        <f>IF(AND(Banking_Data_100_Records[[#This Row],[Credit Score]]&gt;750,Banking_Data_100_Records[[#This Row],[Salary]]&gt;60000),"Eligible","Not Eligible")</f>
        <v>Not Eligible</v>
      </c>
      <c r="U85" s="5" t="str">
        <f>IF(Banking_Data_100_Records[[#This Row],[Balance]]&gt;500000,"High Balance","Normal Balance")</f>
        <v>Normal Balance</v>
      </c>
      <c r="V85" s="5" t="str">
        <f>IF(Banking_Data_100_Records[[#This Row],[Loan Amount]]&gt;1000000,"High Value Customer","Regular Customer")</f>
        <v>High Value Customer</v>
      </c>
      <c r="W85" s="8" t="str">
        <v>Poor</v>
      </c>
      <c r="X85" s="8" t="str">
        <v>Platinum</v>
      </c>
      <c r="Y85" s="9" t="str">
        <f>IF(AND(Banking_Data_100_Records[[#This Row],[Loan Status]]="Approved",Banking_Data_100_Records[[#This Row],[Credit Score]]&gt;=700)," Eligible","Not")</f>
        <v>Not</v>
      </c>
      <c r="Z85" s="9" t="str">
        <f>IF(AND(Banking_Data_100_Records[[#This Row],[Salary]]&gt;=80000,Banking_Data_100_Records[[#This Row],[Balance]]&gt;=300000),"Yes","No")</f>
        <v>No</v>
      </c>
      <c r="AA85" s="13" t="str">
        <f>IF(OR(Banking_Data_100_Records[[#This Row],[Salary]]&gt;=80000,Banking_Data_100_Records[[#This Row],[Balance]]&gt;=500000),"Special offer","Not")</f>
        <v>Special offer</v>
      </c>
      <c r="AB85" s="13" t="str">
        <f>IF(OR(Banking_Data_100_Records[[#This Row],[Loan Amount]]&gt;1500000,Banking_Data_100_Records[[#This Row],[Credit Score]]&gt;800),"Priority customer","Not")</f>
        <v>Priority customer</v>
      </c>
    </row>
    <row r="86" spans="1:28" x14ac:dyDescent="0.35">
      <c r="A86" s="1" t="s">
        <v>197</v>
      </c>
      <c r="B86" s="1" t="s">
        <v>28</v>
      </c>
      <c r="C86" s="1" t="s">
        <v>20</v>
      </c>
      <c r="D86" s="1" t="s">
        <v>29</v>
      </c>
      <c r="E86" s="1" t="s">
        <v>22</v>
      </c>
      <c r="F86">
        <v>34</v>
      </c>
      <c r="G86" s="1" t="s">
        <v>23</v>
      </c>
      <c r="H86">
        <v>975000</v>
      </c>
      <c r="I86">
        <v>13.92</v>
      </c>
      <c r="J86">
        <v>27560</v>
      </c>
      <c r="K86">
        <v>120000</v>
      </c>
      <c r="L86">
        <v>413</v>
      </c>
      <c r="M86" s="1" t="s">
        <v>30</v>
      </c>
      <c r="N86" s="1" t="s">
        <v>44</v>
      </c>
      <c r="O86">
        <v>127500</v>
      </c>
      <c r="P86" s="2">
        <v>45902</v>
      </c>
      <c r="Q86">
        <v>245000</v>
      </c>
      <c r="R86" s="1" t="s">
        <v>60</v>
      </c>
      <c r="T86" s="5" t="str">
        <f>IF(AND(Banking_Data_100_Records[[#This Row],[Credit Score]]&gt;750,Banking_Data_100_Records[[#This Row],[Salary]]&gt;60000),"Eligible","Not Eligible")</f>
        <v>Not Eligible</v>
      </c>
      <c r="U86" s="5" t="str">
        <f>IF(Banking_Data_100_Records[[#This Row],[Balance]]&gt;500000,"High Balance","Normal Balance")</f>
        <v>Normal Balance</v>
      </c>
      <c r="V86" s="5" t="str">
        <f>IF(Banking_Data_100_Records[[#This Row],[Loan Amount]]&gt;1000000,"High Value Customer","Regular Customer")</f>
        <v>Regular Customer</v>
      </c>
      <c r="W86" s="8" t="str">
        <v>Poor</v>
      </c>
      <c r="X86" s="8" t="str">
        <v>Platinum</v>
      </c>
      <c r="Y86" s="9" t="str">
        <f>IF(AND(Banking_Data_100_Records[[#This Row],[Loan Status]]="Approved",Banking_Data_100_Records[[#This Row],[Credit Score]]&gt;=700)," Eligible","Not")</f>
        <v>Not</v>
      </c>
      <c r="Z86" s="9" t="str">
        <f>IF(AND(Banking_Data_100_Records[[#This Row],[Salary]]&gt;=80000,Banking_Data_100_Records[[#This Row],[Balance]]&gt;=300000),"Yes","No")</f>
        <v>No</v>
      </c>
      <c r="AA86" s="13" t="str">
        <f>IF(OR(Banking_Data_100_Records[[#This Row],[Salary]]&gt;=80000,Banking_Data_100_Records[[#This Row],[Balance]]&gt;=500000),"Special offer","Not")</f>
        <v>Special offer</v>
      </c>
      <c r="AB86" s="13" t="str">
        <f>IF(OR(Banking_Data_100_Records[[#This Row],[Loan Amount]]&gt;1500000,Banking_Data_100_Records[[#This Row],[Credit Score]]&gt;800),"Priority customer","Not")</f>
        <v>Not</v>
      </c>
    </row>
    <row r="87" spans="1:28" x14ac:dyDescent="0.35">
      <c r="A87" s="1" t="s">
        <v>198</v>
      </c>
      <c r="B87" s="1" t="s">
        <v>199</v>
      </c>
      <c r="C87" s="1" t="s">
        <v>48</v>
      </c>
      <c r="D87" s="1" t="s">
        <v>21</v>
      </c>
      <c r="E87" s="1" t="s">
        <v>54</v>
      </c>
      <c r="F87">
        <v>58</v>
      </c>
      <c r="G87" s="1" t="s">
        <v>57</v>
      </c>
      <c r="H87">
        <v>1270000</v>
      </c>
      <c r="I87">
        <v>7.44</v>
      </c>
      <c r="J87">
        <v>29040.67</v>
      </c>
      <c r="K87">
        <v>63000</v>
      </c>
      <c r="L87">
        <v>653</v>
      </c>
      <c r="M87" s="1" t="s">
        <v>37</v>
      </c>
      <c r="N87" s="1" t="s">
        <v>31</v>
      </c>
      <c r="O87">
        <v>10500</v>
      </c>
      <c r="P87" s="2">
        <v>45929</v>
      </c>
      <c r="Q87">
        <v>216000</v>
      </c>
      <c r="R87" s="1" t="s">
        <v>51</v>
      </c>
      <c r="T87" s="5" t="str">
        <f>IF(AND(Banking_Data_100_Records[[#This Row],[Credit Score]]&gt;750,Banking_Data_100_Records[[#This Row],[Salary]]&gt;60000),"Eligible","Not Eligible")</f>
        <v>Not Eligible</v>
      </c>
      <c r="U87" s="5" t="str">
        <f>IF(Banking_Data_100_Records[[#This Row],[Balance]]&gt;500000,"High Balance","Normal Balance")</f>
        <v>Normal Balance</v>
      </c>
      <c r="V87" s="5" t="str">
        <f>IF(Banking_Data_100_Records[[#This Row],[Loan Amount]]&gt;1000000,"High Value Customer","Regular Customer")</f>
        <v>High Value Customer</v>
      </c>
      <c r="W87" s="8" t="str">
        <v>Average</v>
      </c>
      <c r="X87" s="8" t="str">
        <v>Silver</v>
      </c>
      <c r="Y87" s="9" t="str">
        <f>IF(AND(Banking_Data_100_Records[[#This Row],[Loan Status]]="Approved",Banking_Data_100_Records[[#This Row],[Credit Score]]&gt;=700)," Eligible","Not")</f>
        <v>Not</v>
      </c>
      <c r="Z87" s="9" t="str">
        <f>IF(AND(Banking_Data_100_Records[[#This Row],[Salary]]&gt;=80000,Banking_Data_100_Records[[#This Row],[Balance]]&gt;=300000),"Yes","No")</f>
        <v>No</v>
      </c>
      <c r="AA87" s="13" t="str">
        <f>IF(OR(Banking_Data_100_Records[[#This Row],[Salary]]&gt;=80000,Banking_Data_100_Records[[#This Row],[Balance]]&gt;=500000),"Special offer","Not")</f>
        <v>Not</v>
      </c>
      <c r="AB87" s="13" t="str">
        <f>IF(OR(Banking_Data_100_Records[[#This Row],[Loan Amount]]&gt;1500000,Banking_Data_100_Records[[#This Row],[Credit Score]]&gt;800),"Priority customer","Not")</f>
        <v>Not</v>
      </c>
    </row>
    <row r="88" spans="1:28" x14ac:dyDescent="0.35">
      <c r="A88" s="1" t="s">
        <v>200</v>
      </c>
      <c r="B88" s="1" t="s">
        <v>201</v>
      </c>
      <c r="C88" s="1" t="s">
        <v>35</v>
      </c>
      <c r="D88" s="1" t="s">
        <v>21</v>
      </c>
      <c r="E88" s="1" t="s">
        <v>54</v>
      </c>
      <c r="F88">
        <v>52</v>
      </c>
      <c r="G88" s="1" t="s">
        <v>41</v>
      </c>
      <c r="H88">
        <v>1980000</v>
      </c>
      <c r="I88">
        <v>10.99</v>
      </c>
      <c r="J88">
        <v>51133.5</v>
      </c>
      <c r="K88">
        <v>114000</v>
      </c>
      <c r="L88">
        <v>412</v>
      </c>
      <c r="M88" s="1" t="s">
        <v>30</v>
      </c>
      <c r="N88" s="1" t="s">
        <v>25</v>
      </c>
      <c r="O88">
        <v>34000</v>
      </c>
      <c r="P88" s="2">
        <v>45706</v>
      </c>
      <c r="Q88">
        <v>256000</v>
      </c>
      <c r="R88" s="1" t="s">
        <v>45</v>
      </c>
      <c r="T88" s="5" t="str">
        <f>IF(AND(Banking_Data_100_Records[[#This Row],[Credit Score]]&gt;750,Banking_Data_100_Records[[#This Row],[Salary]]&gt;60000),"Eligible","Not Eligible")</f>
        <v>Not Eligible</v>
      </c>
      <c r="U88" s="5" t="str">
        <f>IF(Banking_Data_100_Records[[#This Row],[Balance]]&gt;500000,"High Balance","Normal Balance")</f>
        <v>Normal Balance</v>
      </c>
      <c r="V88" s="5" t="str">
        <f>IF(Banking_Data_100_Records[[#This Row],[Loan Amount]]&gt;1000000,"High Value Customer","Regular Customer")</f>
        <v>High Value Customer</v>
      </c>
      <c r="W88" s="8" t="str">
        <v>Poor</v>
      </c>
      <c r="X88" s="8" t="str">
        <v>Platinum</v>
      </c>
      <c r="Y88" s="9" t="str">
        <f>IF(AND(Banking_Data_100_Records[[#This Row],[Loan Status]]="Approved",Banking_Data_100_Records[[#This Row],[Credit Score]]&gt;=700)," Eligible","Not")</f>
        <v>Not</v>
      </c>
      <c r="Z88" s="9" t="str">
        <f>IF(AND(Banking_Data_100_Records[[#This Row],[Salary]]&gt;=80000,Banking_Data_100_Records[[#This Row],[Balance]]&gt;=300000),"Yes","No")</f>
        <v>No</v>
      </c>
      <c r="AA88" s="13" t="str">
        <f>IF(OR(Banking_Data_100_Records[[#This Row],[Salary]]&gt;=80000,Banking_Data_100_Records[[#This Row],[Balance]]&gt;=500000),"Special offer","Not")</f>
        <v>Special offer</v>
      </c>
      <c r="AB88" s="13" t="str">
        <f>IF(OR(Banking_Data_100_Records[[#This Row],[Loan Amount]]&gt;1500000,Banking_Data_100_Records[[#This Row],[Credit Score]]&gt;800),"Priority customer","Not")</f>
        <v>Priority customer</v>
      </c>
    </row>
    <row r="89" spans="1:28" x14ac:dyDescent="0.35">
      <c r="A89" s="1" t="s">
        <v>202</v>
      </c>
      <c r="B89" s="1" t="s">
        <v>203</v>
      </c>
      <c r="C89" s="1" t="s">
        <v>48</v>
      </c>
      <c r="D89" s="1" t="s">
        <v>29</v>
      </c>
      <c r="E89" s="1" t="s">
        <v>54</v>
      </c>
      <c r="F89">
        <v>42</v>
      </c>
      <c r="G89" s="1" t="s">
        <v>23</v>
      </c>
      <c r="H89">
        <v>1195000</v>
      </c>
      <c r="I89">
        <v>13.21</v>
      </c>
      <c r="J89">
        <v>33071.620000000003</v>
      </c>
      <c r="K89">
        <v>56000</v>
      </c>
      <c r="L89">
        <v>540</v>
      </c>
      <c r="M89" s="1" t="s">
        <v>24</v>
      </c>
      <c r="N89" s="1" t="s">
        <v>44</v>
      </c>
      <c r="O89">
        <v>172500</v>
      </c>
      <c r="P89" s="2">
        <v>45972</v>
      </c>
      <c r="Q89">
        <v>793000</v>
      </c>
      <c r="R89" s="1" t="s">
        <v>26</v>
      </c>
      <c r="T89" s="5" t="str">
        <f>IF(AND(Banking_Data_100_Records[[#This Row],[Credit Score]]&gt;750,Banking_Data_100_Records[[#This Row],[Salary]]&gt;60000),"Eligible","Not Eligible")</f>
        <v>Not Eligible</v>
      </c>
      <c r="U89" s="5" t="str">
        <f>IF(Banking_Data_100_Records[[#This Row],[Balance]]&gt;500000,"High Balance","Normal Balance")</f>
        <v>High Balance</v>
      </c>
      <c r="V89" s="5" t="str">
        <f>IF(Banking_Data_100_Records[[#This Row],[Loan Amount]]&gt;1000000,"High Value Customer","Regular Customer")</f>
        <v>High Value Customer</v>
      </c>
      <c r="W89" s="8" t="str">
        <v>Poor</v>
      </c>
      <c r="X89" s="8" t="str">
        <v>Silver</v>
      </c>
      <c r="Y89" s="9" t="str">
        <f>IF(AND(Banking_Data_100_Records[[#This Row],[Loan Status]]="Approved",Banking_Data_100_Records[[#This Row],[Credit Score]]&gt;=700)," Eligible","Not")</f>
        <v>Not</v>
      </c>
      <c r="Z89" s="9" t="str">
        <f>IF(AND(Banking_Data_100_Records[[#This Row],[Salary]]&gt;=80000,Banking_Data_100_Records[[#This Row],[Balance]]&gt;=300000),"Yes","No")</f>
        <v>No</v>
      </c>
      <c r="AA89" s="13" t="str">
        <f>IF(OR(Banking_Data_100_Records[[#This Row],[Salary]]&gt;=80000,Banking_Data_100_Records[[#This Row],[Balance]]&gt;=500000),"Special offer","Not")</f>
        <v>Special offer</v>
      </c>
      <c r="AB89" s="13" t="str">
        <f>IF(OR(Banking_Data_100_Records[[#This Row],[Loan Amount]]&gt;1500000,Banking_Data_100_Records[[#This Row],[Credit Score]]&gt;800),"Priority customer","Not")</f>
        <v>Not</v>
      </c>
    </row>
    <row r="90" spans="1:28" x14ac:dyDescent="0.35">
      <c r="A90" s="1" t="s">
        <v>204</v>
      </c>
      <c r="B90" s="1" t="s">
        <v>158</v>
      </c>
      <c r="C90" s="1" t="s">
        <v>48</v>
      </c>
      <c r="D90" s="1" t="s">
        <v>21</v>
      </c>
      <c r="E90" s="1" t="s">
        <v>22</v>
      </c>
      <c r="F90">
        <v>52</v>
      </c>
      <c r="G90" s="1" t="s">
        <v>23</v>
      </c>
      <c r="H90">
        <v>815000</v>
      </c>
      <c r="I90">
        <v>7.19</v>
      </c>
      <c r="J90">
        <v>18466.54</v>
      </c>
      <c r="K90">
        <v>50000</v>
      </c>
      <c r="L90">
        <v>761</v>
      </c>
      <c r="M90" s="1" t="s">
        <v>37</v>
      </c>
      <c r="N90" s="1" t="s">
        <v>44</v>
      </c>
      <c r="O90">
        <v>200000</v>
      </c>
      <c r="P90" s="2">
        <v>45700</v>
      </c>
      <c r="Q90">
        <v>105000</v>
      </c>
      <c r="R90" s="1" t="s">
        <v>51</v>
      </c>
      <c r="T90" s="5" t="str">
        <f>IF(AND(Banking_Data_100_Records[[#This Row],[Credit Score]]&gt;750,Banking_Data_100_Records[[#This Row],[Salary]]&gt;60000),"Eligible","Not Eligible")</f>
        <v>Not Eligible</v>
      </c>
      <c r="U90" s="5" t="str">
        <f>IF(Banking_Data_100_Records[[#This Row],[Balance]]&gt;500000,"High Balance","Normal Balance")</f>
        <v>Normal Balance</v>
      </c>
      <c r="V90" s="5" t="str">
        <f>IF(Banking_Data_100_Records[[#This Row],[Loan Amount]]&gt;1000000,"High Value Customer","Regular Customer")</f>
        <v>Regular Customer</v>
      </c>
      <c r="W90" s="8" t="str">
        <v>Good</v>
      </c>
      <c r="X90" s="8" t="str">
        <v>Silver</v>
      </c>
      <c r="Y90" s="9" t="str">
        <f>IF(AND(Banking_Data_100_Records[[#This Row],[Loan Status]]="Approved",Banking_Data_100_Records[[#This Row],[Credit Score]]&gt;=700)," Eligible","Not")</f>
        <v xml:space="preserve"> Eligible</v>
      </c>
      <c r="Z90" s="9" t="str">
        <f>IF(AND(Banking_Data_100_Records[[#This Row],[Salary]]&gt;=80000,Banking_Data_100_Records[[#This Row],[Balance]]&gt;=300000),"Yes","No")</f>
        <v>No</v>
      </c>
      <c r="AA90" s="13" t="str">
        <f>IF(OR(Banking_Data_100_Records[[#This Row],[Salary]]&gt;=80000,Banking_Data_100_Records[[#This Row],[Balance]]&gt;=500000),"Special offer","Not")</f>
        <v>Not</v>
      </c>
      <c r="AB90" s="13" t="str">
        <f>IF(OR(Banking_Data_100_Records[[#This Row],[Loan Amount]]&gt;1500000,Banking_Data_100_Records[[#This Row],[Credit Score]]&gt;800),"Priority customer","Not")</f>
        <v>Not</v>
      </c>
    </row>
    <row r="91" spans="1:28" x14ac:dyDescent="0.35">
      <c r="A91" s="1" t="s">
        <v>205</v>
      </c>
      <c r="B91" s="1" t="s">
        <v>206</v>
      </c>
      <c r="C91" s="1" t="s">
        <v>71</v>
      </c>
      <c r="D91" s="1" t="s">
        <v>21</v>
      </c>
      <c r="E91" s="1" t="s">
        <v>54</v>
      </c>
      <c r="F91">
        <v>57</v>
      </c>
      <c r="G91" s="1" t="s">
        <v>23</v>
      </c>
      <c r="H91">
        <v>310000</v>
      </c>
      <c r="I91">
        <v>11.41</v>
      </c>
      <c r="J91">
        <v>8114.25</v>
      </c>
      <c r="K91">
        <v>45000</v>
      </c>
      <c r="L91">
        <v>407</v>
      </c>
      <c r="M91" s="1" t="s">
        <v>24</v>
      </c>
      <c r="N91" s="1" t="s">
        <v>44</v>
      </c>
      <c r="O91">
        <v>106000</v>
      </c>
      <c r="P91" s="2">
        <v>45700</v>
      </c>
      <c r="Q91">
        <v>917000</v>
      </c>
      <c r="R91" s="1" t="s">
        <v>60</v>
      </c>
      <c r="T91" s="5" t="str">
        <f>IF(AND(Banking_Data_100_Records[[#This Row],[Credit Score]]&gt;750,Banking_Data_100_Records[[#This Row],[Salary]]&gt;60000),"Eligible","Not Eligible")</f>
        <v>Not Eligible</v>
      </c>
      <c r="U91" s="5" t="str">
        <f>IF(Banking_Data_100_Records[[#This Row],[Balance]]&gt;500000,"High Balance","Normal Balance")</f>
        <v>High Balance</v>
      </c>
      <c r="V91" s="5" t="str">
        <f>IF(Banking_Data_100_Records[[#This Row],[Loan Amount]]&gt;1000000,"High Value Customer","Regular Customer")</f>
        <v>Regular Customer</v>
      </c>
      <c r="W91" s="8" t="str">
        <v>Poor</v>
      </c>
      <c r="X91" s="8" t="str">
        <v>Silver</v>
      </c>
      <c r="Y91" s="9" t="str">
        <f>IF(AND(Banking_Data_100_Records[[#This Row],[Loan Status]]="Approved",Banking_Data_100_Records[[#This Row],[Credit Score]]&gt;=700)," Eligible","Not")</f>
        <v>Not</v>
      </c>
      <c r="Z91" s="9" t="str">
        <f>IF(AND(Banking_Data_100_Records[[#This Row],[Salary]]&gt;=80000,Banking_Data_100_Records[[#This Row],[Balance]]&gt;=300000),"Yes","No")</f>
        <v>No</v>
      </c>
      <c r="AA91" s="13" t="str">
        <f>IF(OR(Banking_Data_100_Records[[#This Row],[Salary]]&gt;=80000,Banking_Data_100_Records[[#This Row],[Balance]]&gt;=500000),"Special offer","Not")</f>
        <v>Special offer</v>
      </c>
      <c r="AB91" s="13" t="str">
        <f>IF(OR(Banking_Data_100_Records[[#This Row],[Loan Amount]]&gt;1500000,Banking_Data_100_Records[[#This Row],[Credit Score]]&gt;800),"Priority customer","Not")</f>
        <v>Not</v>
      </c>
    </row>
    <row r="92" spans="1:28" x14ac:dyDescent="0.35">
      <c r="A92" s="1" t="s">
        <v>207</v>
      </c>
      <c r="B92" s="1" t="s">
        <v>208</v>
      </c>
      <c r="C92" s="1" t="s">
        <v>20</v>
      </c>
      <c r="D92" s="1" t="s">
        <v>21</v>
      </c>
      <c r="E92" s="1" t="s">
        <v>22</v>
      </c>
      <c r="F92">
        <v>59</v>
      </c>
      <c r="G92" s="1" t="s">
        <v>36</v>
      </c>
      <c r="H92">
        <v>1380000</v>
      </c>
      <c r="I92">
        <v>11.06</v>
      </c>
      <c r="J92">
        <v>35719</v>
      </c>
      <c r="K92">
        <v>40000</v>
      </c>
      <c r="L92">
        <v>494</v>
      </c>
      <c r="M92" s="1" t="s">
        <v>30</v>
      </c>
      <c r="N92" s="1" t="s">
        <v>31</v>
      </c>
      <c r="O92">
        <v>121000</v>
      </c>
      <c r="P92" s="2">
        <v>45821</v>
      </c>
      <c r="Q92">
        <v>712000</v>
      </c>
      <c r="R92" s="1" t="s">
        <v>26</v>
      </c>
      <c r="T92" s="5" t="str">
        <f>IF(AND(Banking_Data_100_Records[[#This Row],[Credit Score]]&gt;750,Banking_Data_100_Records[[#This Row],[Salary]]&gt;60000),"Eligible","Not Eligible")</f>
        <v>Not Eligible</v>
      </c>
      <c r="U92" s="5" t="str">
        <f>IF(Banking_Data_100_Records[[#This Row],[Balance]]&gt;500000,"High Balance","Normal Balance")</f>
        <v>High Balance</v>
      </c>
      <c r="V92" s="5" t="str">
        <f>IF(Banking_Data_100_Records[[#This Row],[Loan Amount]]&gt;1000000,"High Value Customer","Regular Customer")</f>
        <v>High Value Customer</v>
      </c>
      <c r="W92" s="8" t="str">
        <v>Poor</v>
      </c>
      <c r="X92" s="8" t="b">
        <v>0</v>
      </c>
      <c r="Y92" s="9" t="str">
        <f>IF(AND(Banking_Data_100_Records[[#This Row],[Loan Status]]="Approved",Banking_Data_100_Records[[#This Row],[Credit Score]]&gt;=700)," Eligible","Not")</f>
        <v>Not</v>
      </c>
      <c r="Z92" s="9" t="str">
        <f>IF(AND(Banking_Data_100_Records[[#This Row],[Salary]]&gt;=80000,Banking_Data_100_Records[[#This Row],[Balance]]&gt;=300000),"Yes","No")</f>
        <v>No</v>
      </c>
      <c r="AA92" s="13" t="str">
        <f>IF(OR(Banking_Data_100_Records[[#This Row],[Salary]]&gt;=80000,Banking_Data_100_Records[[#This Row],[Balance]]&gt;=500000),"Special offer","Not")</f>
        <v>Special offer</v>
      </c>
      <c r="AB92" s="13" t="str">
        <f>IF(OR(Banking_Data_100_Records[[#This Row],[Loan Amount]]&gt;1500000,Banking_Data_100_Records[[#This Row],[Credit Score]]&gt;800),"Priority customer","Not")</f>
        <v>Not</v>
      </c>
    </row>
    <row r="93" spans="1:28" x14ac:dyDescent="0.35">
      <c r="A93" s="1" t="s">
        <v>209</v>
      </c>
      <c r="B93" s="1" t="s">
        <v>188</v>
      </c>
      <c r="C93" s="1" t="s">
        <v>48</v>
      </c>
      <c r="D93" s="1" t="s">
        <v>29</v>
      </c>
      <c r="E93" s="1" t="s">
        <v>54</v>
      </c>
      <c r="F93">
        <v>59</v>
      </c>
      <c r="G93" s="1" t="s">
        <v>23</v>
      </c>
      <c r="H93">
        <v>745000</v>
      </c>
      <c r="I93">
        <v>10.8</v>
      </c>
      <c r="J93">
        <v>19121.669999999998</v>
      </c>
      <c r="K93">
        <v>64000</v>
      </c>
      <c r="L93">
        <v>789</v>
      </c>
      <c r="M93" s="1" t="s">
        <v>37</v>
      </c>
      <c r="N93" s="1" t="s">
        <v>25</v>
      </c>
      <c r="O93">
        <v>91000</v>
      </c>
      <c r="P93" s="2">
        <v>45894</v>
      </c>
      <c r="Q93">
        <v>107000</v>
      </c>
      <c r="R93" s="1" t="s">
        <v>51</v>
      </c>
      <c r="T93" s="5" t="str">
        <f>IF(AND(Banking_Data_100_Records[[#This Row],[Credit Score]]&gt;750,Banking_Data_100_Records[[#This Row],[Salary]]&gt;60000),"Eligible","Not Eligible")</f>
        <v>Eligible</v>
      </c>
      <c r="U93" s="5" t="str">
        <f>IF(Banking_Data_100_Records[[#This Row],[Balance]]&gt;500000,"High Balance","Normal Balance")</f>
        <v>Normal Balance</v>
      </c>
      <c r="V93" s="5" t="str">
        <f>IF(Banking_Data_100_Records[[#This Row],[Loan Amount]]&gt;1000000,"High Value Customer","Regular Customer")</f>
        <v>Regular Customer</v>
      </c>
      <c r="W93" s="8" t="str">
        <v>Good</v>
      </c>
      <c r="X93" s="8" t="str">
        <v>Silver</v>
      </c>
      <c r="Y93" s="9" t="str">
        <f>IF(AND(Banking_Data_100_Records[[#This Row],[Loan Status]]="Approved",Banking_Data_100_Records[[#This Row],[Credit Score]]&gt;=700)," Eligible","Not")</f>
        <v xml:space="preserve"> Eligible</v>
      </c>
      <c r="Z93" s="9" t="str">
        <f>IF(AND(Banking_Data_100_Records[[#This Row],[Salary]]&gt;=80000,Banking_Data_100_Records[[#This Row],[Balance]]&gt;=300000),"Yes","No")</f>
        <v>No</v>
      </c>
      <c r="AA93" s="13" t="str">
        <f>IF(OR(Banking_Data_100_Records[[#This Row],[Salary]]&gt;=80000,Banking_Data_100_Records[[#This Row],[Balance]]&gt;=500000),"Special offer","Not")</f>
        <v>Not</v>
      </c>
      <c r="AB93" s="13" t="str">
        <f>IF(OR(Banking_Data_100_Records[[#This Row],[Loan Amount]]&gt;1500000,Banking_Data_100_Records[[#This Row],[Credit Score]]&gt;800),"Priority customer","Not")</f>
        <v>Not</v>
      </c>
    </row>
    <row r="94" spans="1:28" x14ac:dyDescent="0.35">
      <c r="A94" s="1" t="s">
        <v>210</v>
      </c>
      <c r="B94" s="1" t="s">
        <v>129</v>
      </c>
      <c r="C94" s="1" t="s">
        <v>20</v>
      </c>
      <c r="D94" s="1" t="s">
        <v>29</v>
      </c>
      <c r="E94" s="1" t="s">
        <v>54</v>
      </c>
      <c r="F94">
        <v>21</v>
      </c>
      <c r="G94" s="1" t="s">
        <v>57</v>
      </c>
      <c r="H94">
        <v>1995000</v>
      </c>
      <c r="I94">
        <v>12.4</v>
      </c>
      <c r="J94">
        <v>53865</v>
      </c>
      <c r="K94">
        <v>108000</v>
      </c>
      <c r="L94">
        <v>724</v>
      </c>
      <c r="M94" s="1" t="s">
        <v>37</v>
      </c>
      <c r="N94" s="1" t="s">
        <v>44</v>
      </c>
      <c r="O94">
        <v>28500</v>
      </c>
      <c r="P94" s="2">
        <v>45821</v>
      </c>
      <c r="Q94">
        <v>47000</v>
      </c>
      <c r="R94" s="1" t="s">
        <v>51</v>
      </c>
      <c r="T94" s="5" t="str">
        <f>IF(AND(Banking_Data_100_Records[[#This Row],[Credit Score]]&gt;750,Banking_Data_100_Records[[#This Row],[Salary]]&gt;60000),"Eligible","Not Eligible")</f>
        <v>Not Eligible</v>
      </c>
      <c r="U94" s="5" t="str">
        <f>IF(Banking_Data_100_Records[[#This Row],[Balance]]&gt;500000,"High Balance","Normal Balance")</f>
        <v>Normal Balance</v>
      </c>
      <c r="V94" s="5" t="str">
        <f>IF(Banking_Data_100_Records[[#This Row],[Loan Amount]]&gt;1000000,"High Value Customer","Regular Customer")</f>
        <v>High Value Customer</v>
      </c>
      <c r="W94" s="8" t="str">
        <v>Good</v>
      </c>
      <c r="X94" s="8" t="str">
        <v>Platinum</v>
      </c>
      <c r="Y94" s="9" t="str">
        <f>IF(AND(Banking_Data_100_Records[[#This Row],[Loan Status]]="Approved",Banking_Data_100_Records[[#This Row],[Credit Score]]&gt;=700)," Eligible","Not")</f>
        <v xml:space="preserve"> Eligible</v>
      </c>
      <c r="Z94" s="9" t="str">
        <f>IF(AND(Banking_Data_100_Records[[#This Row],[Salary]]&gt;=80000,Banking_Data_100_Records[[#This Row],[Balance]]&gt;=300000),"Yes","No")</f>
        <v>No</v>
      </c>
      <c r="AA94" s="13" t="str">
        <f>IF(OR(Banking_Data_100_Records[[#This Row],[Salary]]&gt;=80000,Banking_Data_100_Records[[#This Row],[Balance]]&gt;=500000),"Special offer","Not")</f>
        <v>Special offer</v>
      </c>
      <c r="AB94" s="13" t="str">
        <f>IF(OR(Banking_Data_100_Records[[#This Row],[Loan Amount]]&gt;1500000,Banking_Data_100_Records[[#This Row],[Credit Score]]&gt;800),"Priority customer","Not")</f>
        <v>Priority customer</v>
      </c>
    </row>
    <row r="95" spans="1:28" x14ac:dyDescent="0.35">
      <c r="A95" s="1" t="s">
        <v>211</v>
      </c>
      <c r="B95" s="1" t="s">
        <v>212</v>
      </c>
      <c r="C95" s="1" t="s">
        <v>35</v>
      </c>
      <c r="D95" s="1" t="s">
        <v>21</v>
      </c>
      <c r="E95" s="1" t="s">
        <v>54</v>
      </c>
      <c r="F95">
        <v>30</v>
      </c>
      <c r="G95" s="1" t="s">
        <v>41</v>
      </c>
      <c r="H95">
        <v>1360000</v>
      </c>
      <c r="I95">
        <v>9.8000000000000007</v>
      </c>
      <c r="J95">
        <v>33773.33</v>
      </c>
      <c r="K95">
        <v>31000</v>
      </c>
      <c r="L95">
        <v>641</v>
      </c>
      <c r="M95" s="1" t="s">
        <v>30</v>
      </c>
      <c r="N95" s="1" t="s">
        <v>25</v>
      </c>
      <c r="O95">
        <v>188500</v>
      </c>
      <c r="P95" s="2">
        <v>45935</v>
      </c>
      <c r="Q95">
        <v>807000</v>
      </c>
      <c r="R95" s="1" t="s">
        <v>45</v>
      </c>
      <c r="T95" s="5" t="str">
        <f>IF(AND(Banking_Data_100_Records[[#This Row],[Credit Score]]&gt;750,Banking_Data_100_Records[[#This Row],[Salary]]&gt;60000),"Eligible","Not Eligible")</f>
        <v>Not Eligible</v>
      </c>
      <c r="U95" s="5" t="str">
        <f>IF(Banking_Data_100_Records[[#This Row],[Balance]]&gt;500000,"High Balance","Normal Balance")</f>
        <v>High Balance</v>
      </c>
      <c r="V95" s="5" t="str">
        <f>IF(Banking_Data_100_Records[[#This Row],[Loan Amount]]&gt;1000000,"High Value Customer","Regular Customer")</f>
        <v>High Value Customer</v>
      </c>
      <c r="W95" s="8" t="str">
        <v>Average</v>
      </c>
      <c r="X95" s="8" t="str">
        <v>Bronze</v>
      </c>
      <c r="Y95" s="9" t="str">
        <f>IF(AND(Banking_Data_100_Records[[#This Row],[Loan Status]]="Approved",Banking_Data_100_Records[[#This Row],[Credit Score]]&gt;=700)," Eligible","Not")</f>
        <v>Not</v>
      </c>
      <c r="Z95" s="9" t="str">
        <f>IF(AND(Banking_Data_100_Records[[#This Row],[Salary]]&gt;=80000,Banking_Data_100_Records[[#This Row],[Balance]]&gt;=300000),"Yes","No")</f>
        <v>No</v>
      </c>
      <c r="AA95" s="13" t="str">
        <f>IF(OR(Banking_Data_100_Records[[#This Row],[Salary]]&gt;=80000,Banking_Data_100_Records[[#This Row],[Balance]]&gt;=500000),"Special offer","Not")</f>
        <v>Special offer</v>
      </c>
      <c r="AB95" s="13" t="str">
        <f>IF(OR(Banking_Data_100_Records[[#This Row],[Loan Amount]]&gt;1500000,Banking_Data_100_Records[[#This Row],[Credit Score]]&gt;800),"Priority customer","Not")</f>
        <v>Not</v>
      </c>
    </row>
    <row r="96" spans="1:28" x14ac:dyDescent="0.35">
      <c r="A96" s="1" t="s">
        <v>213</v>
      </c>
      <c r="B96" s="1" t="s">
        <v>172</v>
      </c>
      <c r="C96" s="1" t="s">
        <v>20</v>
      </c>
      <c r="D96" s="1" t="s">
        <v>29</v>
      </c>
      <c r="E96" s="1" t="s">
        <v>54</v>
      </c>
      <c r="F96">
        <v>34</v>
      </c>
      <c r="G96" s="1" t="s">
        <v>36</v>
      </c>
      <c r="H96">
        <v>900000</v>
      </c>
      <c r="I96">
        <v>9.91</v>
      </c>
      <c r="J96">
        <v>22432.5</v>
      </c>
      <c r="K96">
        <v>46000</v>
      </c>
      <c r="L96">
        <v>399</v>
      </c>
      <c r="M96" s="1" t="s">
        <v>30</v>
      </c>
      <c r="N96" s="1" t="s">
        <v>25</v>
      </c>
      <c r="O96">
        <v>65500</v>
      </c>
      <c r="P96" s="2">
        <v>45730</v>
      </c>
      <c r="Q96">
        <v>611000</v>
      </c>
      <c r="R96" s="1" t="s">
        <v>51</v>
      </c>
      <c r="T96" s="5" t="str">
        <f>IF(AND(Banking_Data_100_Records[[#This Row],[Credit Score]]&gt;750,Banking_Data_100_Records[[#This Row],[Salary]]&gt;60000),"Eligible","Not Eligible")</f>
        <v>Not Eligible</v>
      </c>
      <c r="U96" s="5" t="str">
        <f>IF(Banking_Data_100_Records[[#This Row],[Balance]]&gt;500000,"High Balance","Normal Balance")</f>
        <v>High Balance</v>
      </c>
      <c r="V96" s="5" t="str">
        <f>IF(Banking_Data_100_Records[[#This Row],[Loan Amount]]&gt;1000000,"High Value Customer","Regular Customer")</f>
        <v>Regular Customer</v>
      </c>
      <c r="W96" s="8" t="str">
        <v>Poor</v>
      </c>
      <c r="X96" s="8" t="str">
        <v>Silver</v>
      </c>
      <c r="Y96" s="9" t="str">
        <f>IF(AND(Banking_Data_100_Records[[#This Row],[Loan Status]]="Approved",Banking_Data_100_Records[[#This Row],[Credit Score]]&gt;=700)," Eligible","Not")</f>
        <v>Not</v>
      </c>
      <c r="Z96" s="9" t="str">
        <f>IF(AND(Banking_Data_100_Records[[#This Row],[Salary]]&gt;=80000,Banking_Data_100_Records[[#This Row],[Balance]]&gt;=300000),"Yes","No")</f>
        <v>No</v>
      </c>
      <c r="AA96" s="13" t="str">
        <f>IF(OR(Banking_Data_100_Records[[#This Row],[Salary]]&gt;=80000,Banking_Data_100_Records[[#This Row],[Balance]]&gt;=500000),"Special offer","Not")</f>
        <v>Special offer</v>
      </c>
      <c r="AB96" s="13" t="str">
        <f>IF(OR(Banking_Data_100_Records[[#This Row],[Loan Amount]]&gt;1500000,Banking_Data_100_Records[[#This Row],[Credit Score]]&gt;800),"Priority customer","Not")</f>
        <v>Not</v>
      </c>
    </row>
    <row r="97" spans="1:28" x14ac:dyDescent="0.35">
      <c r="A97" s="1" t="s">
        <v>214</v>
      </c>
      <c r="B97" s="1" t="s">
        <v>123</v>
      </c>
      <c r="C97" s="1" t="s">
        <v>35</v>
      </c>
      <c r="D97" s="1" t="s">
        <v>29</v>
      </c>
      <c r="E97" s="1" t="s">
        <v>54</v>
      </c>
      <c r="F97">
        <v>60</v>
      </c>
      <c r="G97" s="1" t="s">
        <v>57</v>
      </c>
      <c r="H97">
        <v>1380000</v>
      </c>
      <c r="I97">
        <v>10.89</v>
      </c>
      <c r="J97">
        <v>35523.5</v>
      </c>
      <c r="K97">
        <v>63000</v>
      </c>
      <c r="L97">
        <v>476</v>
      </c>
      <c r="M97" s="1" t="s">
        <v>24</v>
      </c>
      <c r="N97" s="1" t="s">
        <v>44</v>
      </c>
      <c r="O97">
        <v>3000</v>
      </c>
      <c r="P97" s="2">
        <v>45675</v>
      </c>
      <c r="Q97">
        <v>618000</v>
      </c>
      <c r="R97" s="1" t="s">
        <v>51</v>
      </c>
      <c r="T97" s="5" t="str">
        <f>IF(AND(Banking_Data_100_Records[[#This Row],[Credit Score]]&gt;750,Banking_Data_100_Records[[#This Row],[Salary]]&gt;60000),"Eligible","Not Eligible")</f>
        <v>Not Eligible</v>
      </c>
      <c r="U97" s="5" t="str">
        <f>IF(Banking_Data_100_Records[[#This Row],[Balance]]&gt;500000,"High Balance","Normal Balance")</f>
        <v>High Balance</v>
      </c>
      <c r="V97" s="5" t="str">
        <f>IF(Banking_Data_100_Records[[#This Row],[Loan Amount]]&gt;1000000,"High Value Customer","Regular Customer")</f>
        <v>High Value Customer</v>
      </c>
      <c r="W97" s="8" t="str">
        <v>Poor</v>
      </c>
      <c r="X97" s="8" t="str">
        <v>Silver</v>
      </c>
      <c r="Y97" s="9" t="str">
        <f>IF(AND(Banking_Data_100_Records[[#This Row],[Loan Status]]="Approved",Banking_Data_100_Records[[#This Row],[Credit Score]]&gt;=700)," Eligible","Not")</f>
        <v>Not</v>
      </c>
      <c r="Z97" s="9" t="str">
        <f>IF(AND(Banking_Data_100_Records[[#This Row],[Salary]]&gt;=80000,Banking_Data_100_Records[[#This Row],[Balance]]&gt;=300000),"Yes","No")</f>
        <v>No</v>
      </c>
      <c r="AA97" s="13" t="str">
        <f>IF(OR(Banking_Data_100_Records[[#This Row],[Salary]]&gt;=80000,Banking_Data_100_Records[[#This Row],[Balance]]&gt;=500000),"Special offer","Not")</f>
        <v>Special offer</v>
      </c>
      <c r="AB97" s="13" t="str">
        <f>IF(OR(Banking_Data_100_Records[[#This Row],[Loan Amount]]&gt;1500000,Banking_Data_100_Records[[#This Row],[Credit Score]]&gt;800),"Priority customer","Not")</f>
        <v>Not</v>
      </c>
    </row>
    <row r="98" spans="1:28" x14ac:dyDescent="0.35">
      <c r="A98" s="1" t="s">
        <v>215</v>
      </c>
      <c r="B98" s="1" t="s">
        <v>203</v>
      </c>
      <c r="C98" s="1" t="s">
        <v>20</v>
      </c>
      <c r="D98" s="1" t="s">
        <v>29</v>
      </c>
      <c r="E98" s="1" t="s">
        <v>54</v>
      </c>
      <c r="F98">
        <v>46</v>
      </c>
      <c r="G98" s="1" t="s">
        <v>57</v>
      </c>
      <c r="H98">
        <v>285000</v>
      </c>
      <c r="I98">
        <v>11.81</v>
      </c>
      <c r="J98">
        <v>7554.88</v>
      </c>
      <c r="K98">
        <v>135000</v>
      </c>
      <c r="L98">
        <v>876</v>
      </c>
      <c r="M98" s="1" t="s">
        <v>37</v>
      </c>
      <c r="N98" s="1" t="s">
        <v>25</v>
      </c>
      <c r="O98">
        <v>151500</v>
      </c>
      <c r="P98" s="2">
        <v>45675</v>
      </c>
      <c r="Q98">
        <v>640000</v>
      </c>
      <c r="R98" s="1" t="s">
        <v>60</v>
      </c>
      <c r="T98" s="5" t="str">
        <f>IF(AND(Banking_Data_100_Records[[#This Row],[Credit Score]]&gt;750,Banking_Data_100_Records[[#This Row],[Salary]]&gt;60000),"Eligible","Not Eligible")</f>
        <v>Eligible</v>
      </c>
      <c r="U98" s="5" t="str">
        <f>IF(Banking_Data_100_Records[[#This Row],[Balance]]&gt;500000,"High Balance","Normal Balance")</f>
        <v>High Balance</v>
      </c>
      <c r="V98" s="5" t="str">
        <f>IF(Banking_Data_100_Records[[#This Row],[Loan Amount]]&gt;1000000,"High Value Customer","Regular Customer")</f>
        <v>Regular Customer</v>
      </c>
      <c r="W98" s="8" t="str">
        <v>Excellent</v>
      </c>
      <c r="X98" s="8" t="str">
        <v>Platinum</v>
      </c>
      <c r="Y98" s="9" t="str">
        <f>IF(AND(Banking_Data_100_Records[[#This Row],[Loan Status]]="Approved",Banking_Data_100_Records[[#This Row],[Credit Score]]&gt;=700)," Eligible","Not")</f>
        <v xml:space="preserve"> Eligible</v>
      </c>
      <c r="Z98" s="9" t="str">
        <f>IF(AND(Banking_Data_100_Records[[#This Row],[Salary]]&gt;=80000,Banking_Data_100_Records[[#This Row],[Balance]]&gt;=300000),"Yes","No")</f>
        <v>Yes</v>
      </c>
      <c r="AA98" s="13" t="str">
        <f>IF(OR(Banking_Data_100_Records[[#This Row],[Salary]]&gt;=80000,Banking_Data_100_Records[[#This Row],[Balance]]&gt;=500000),"Special offer","Not")</f>
        <v>Special offer</v>
      </c>
      <c r="AB98" s="13" t="str">
        <f>IF(OR(Banking_Data_100_Records[[#This Row],[Loan Amount]]&gt;1500000,Banking_Data_100_Records[[#This Row],[Credit Score]]&gt;800),"Priority customer","Not")</f>
        <v>Priority customer</v>
      </c>
    </row>
    <row r="99" spans="1:28" x14ac:dyDescent="0.35">
      <c r="A99" s="1" t="s">
        <v>216</v>
      </c>
      <c r="B99" s="1" t="s">
        <v>217</v>
      </c>
      <c r="C99" s="1" t="s">
        <v>48</v>
      </c>
      <c r="D99" s="1" t="s">
        <v>29</v>
      </c>
      <c r="E99" s="1" t="s">
        <v>22</v>
      </c>
      <c r="F99">
        <v>56</v>
      </c>
      <c r="G99" s="1" t="s">
        <v>23</v>
      </c>
      <c r="H99">
        <v>1475000</v>
      </c>
      <c r="I99">
        <v>8.66</v>
      </c>
      <c r="J99">
        <v>35227.919999999998</v>
      </c>
      <c r="K99">
        <v>131000</v>
      </c>
      <c r="L99">
        <v>632</v>
      </c>
      <c r="M99" s="1" t="s">
        <v>24</v>
      </c>
      <c r="N99" s="1" t="s">
        <v>31</v>
      </c>
      <c r="O99">
        <v>162500</v>
      </c>
      <c r="P99" s="2">
        <v>45931</v>
      </c>
      <c r="Q99">
        <v>270000</v>
      </c>
      <c r="R99" s="1" t="s">
        <v>45</v>
      </c>
      <c r="T99" s="5" t="str">
        <f>IF(AND(Banking_Data_100_Records[[#This Row],[Credit Score]]&gt;750,Banking_Data_100_Records[[#This Row],[Salary]]&gt;60000),"Eligible","Not Eligible")</f>
        <v>Not Eligible</v>
      </c>
      <c r="U99" s="5" t="str">
        <f>IF(Banking_Data_100_Records[[#This Row],[Balance]]&gt;500000,"High Balance","Normal Balance")</f>
        <v>Normal Balance</v>
      </c>
      <c r="V99" s="5" t="str">
        <f>IF(Banking_Data_100_Records[[#This Row],[Loan Amount]]&gt;1000000,"High Value Customer","Regular Customer")</f>
        <v>High Value Customer</v>
      </c>
      <c r="W99" s="8" t="str">
        <v>Average</v>
      </c>
      <c r="X99" s="8" t="str">
        <v>Platinum</v>
      </c>
      <c r="Y99" s="9" t="str">
        <f>IF(AND(Banking_Data_100_Records[[#This Row],[Loan Status]]="Approved",Banking_Data_100_Records[[#This Row],[Credit Score]]&gt;=700)," Eligible","Not")</f>
        <v>Not</v>
      </c>
      <c r="Z99" s="9" t="str">
        <f>IF(AND(Banking_Data_100_Records[[#This Row],[Salary]]&gt;=80000,Banking_Data_100_Records[[#This Row],[Balance]]&gt;=300000),"Yes","No")</f>
        <v>No</v>
      </c>
      <c r="AA99" s="13" t="str">
        <f>IF(OR(Banking_Data_100_Records[[#This Row],[Salary]]&gt;=80000,Banking_Data_100_Records[[#This Row],[Balance]]&gt;=500000),"Special offer","Not")</f>
        <v>Special offer</v>
      </c>
      <c r="AB99" s="13" t="str">
        <f>IF(OR(Banking_Data_100_Records[[#This Row],[Loan Amount]]&gt;1500000,Banking_Data_100_Records[[#This Row],[Credit Score]]&gt;800),"Priority customer","Not")</f>
        <v>Not</v>
      </c>
    </row>
    <row r="100" spans="1:28" x14ac:dyDescent="0.35">
      <c r="A100" s="1" t="s">
        <v>218</v>
      </c>
      <c r="B100" s="1" t="s">
        <v>95</v>
      </c>
      <c r="C100" s="1" t="s">
        <v>35</v>
      </c>
      <c r="D100" s="1" t="s">
        <v>29</v>
      </c>
      <c r="E100" s="1" t="s">
        <v>54</v>
      </c>
      <c r="F100">
        <v>38</v>
      </c>
      <c r="G100" s="1" t="s">
        <v>41</v>
      </c>
      <c r="H100">
        <v>1935000</v>
      </c>
      <c r="I100">
        <v>12.09</v>
      </c>
      <c r="J100">
        <v>51745.120000000003</v>
      </c>
      <c r="K100">
        <v>93000</v>
      </c>
      <c r="L100">
        <v>456</v>
      </c>
      <c r="M100" s="1" t="s">
        <v>24</v>
      </c>
      <c r="N100" s="1" t="s">
        <v>44</v>
      </c>
      <c r="O100">
        <v>79500</v>
      </c>
      <c r="P100" s="2">
        <v>45712</v>
      </c>
      <c r="Q100">
        <v>735000</v>
      </c>
      <c r="R100" s="1" t="s">
        <v>60</v>
      </c>
      <c r="T100" s="5" t="str">
        <f>IF(AND(Banking_Data_100_Records[[#This Row],[Credit Score]]&gt;750,Banking_Data_100_Records[[#This Row],[Salary]]&gt;60000),"Eligible","Not Eligible")</f>
        <v>Not Eligible</v>
      </c>
      <c r="U100" s="5" t="str">
        <f>IF(Banking_Data_100_Records[[#This Row],[Balance]]&gt;500000,"High Balance","Normal Balance")</f>
        <v>High Balance</v>
      </c>
      <c r="V100" s="5" t="str">
        <f>IF(Banking_Data_100_Records[[#This Row],[Loan Amount]]&gt;1000000,"High Value Customer","Regular Customer")</f>
        <v>High Value Customer</v>
      </c>
      <c r="W100" s="8" t="str">
        <v>Poor</v>
      </c>
      <c r="X100" s="8" t="str">
        <v>Gold</v>
      </c>
      <c r="Y100" s="9" t="str">
        <f>IF(AND(Banking_Data_100_Records[[#This Row],[Loan Status]]="Approved",Banking_Data_100_Records[[#This Row],[Credit Score]]&gt;=700)," Eligible","Not")</f>
        <v>Not</v>
      </c>
      <c r="Z100" s="9" t="str">
        <f>IF(AND(Banking_Data_100_Records[[#This Row],[Salary]]&gt;=80000,Banking_Data_100_Records[[#This Row],[Balance]]&gt;=300000),"Yes","No")</f>
        <v>Yes</v>
      </c>
      <c r="AA100" s="13" t="str">
        <f>IF(OR(Banking_Data_100_Records[[#This Row],[Salary]]&gt;=80000,Banking_Data_100_Records[[#This Row],[Balance]]&gt;=500000),"Special offer","Not")</f>
        <v>Special offer</v>
      </c>
      <c r="AB100" s="13" t="str">
        <f>IF(OR(Banking_Data_100_Records[[#This Row],[Loan Amount]]&gt;1500000,Banking_Data_100_Records[[#This Row],[Credit Score]]&gt;800),"Priority customer","Not")</f>
        <v>Priority customer</v>
      </c>
    </row>
    <row r="101" spans="1:28" x14ac:dyDescent="0.35">
      <c r="A101" s="1" t="s">
        <v>219</v>
      </c>
      <c r="B101" s="1" t="s">
        <v>220</v>
      </c>
      <c r="C101" s="1" t="s">
        <v>40</v>
      </c>
      <c r="D101" s="1" t="s">
        <v>21</v>
      </c>
      <c r="E101" s="1" t="s">
        <v>54</v>
      </c>
      <c r="F101">
        <v>37</v>
      </c>
      <c r="G101" s="1" t="s">
        <v>41</v>
      </c>
      <c r="H101">
        <v>865000</v>
      </c>
      <c r="I101">
        <v>11.84</v>
      </c>
      <c r="J101">
        <v>22951.33</v>
      </c>
      <c r="K101">
        <v>117000</v>
      </c>
      <c r="L101">
        <v>401</v>
      </c>
      <c r="M101" s="1" t="s">
        <v>30</v>
      </c>
      <c r="N101" s="1" t="s">
        <v>44</v>
      </c>
      <c r="O101">
        <v>28000</v>
      </c>
      <c r="P101" s="2">
        <v>45982</v>
      </c>
      <c r="Q101">
        <v>975000</v>
      </c>
      <c r="R101" s="1" t="s">
        <v>45</v>
      </c>
      <c r="T101" s="5" t="str">
        <f>IF(AND(Banking_Data_100_Records[[#This Row],[Credit Score]]&gt;750,Banking_Data_100_Records[[#This Row],[Salary]]&gt;60000),"Eligible","Not Eligible")</f>
        <v>Not Eligible</v>
      </c>
      <c r="U101" s="5" t="str">
        <f>IF(Banking_Data_100_Records[[#This Row],[Balance]]&gt;500000,"High Balance","Normal Balance")</f>
        <v>High Balance</v>
      </c>
      <c r="V101" s="5" t="str">
        <f>IF(Banking_Data_100_Records[[#This Row],[Loan Amount]]&gt;1000000,"High Value Customer","Regular Customer")</f>
        <v>Regular Customer</v>
      </c>
      <c r="W101" s="8" t="str">
        <v>Poor</v>
      </c>
      <c r="X101" s="8" t="str">
        <v>Platinum</v>
      </c>
      <c r="Y101" s="9" t="str">
        <f>IF(AND(Banking_Data_100_Records[[#This Row],[Loan Status]]="Approved",Banking_Data_100_Records[[#This Row],[Credit Score]]&gt;=700)," Eligible","Not")</f>
        <v>Not</v>
      </c>
      <c r="Z101" s="9" t="str">
        <f>IF(AND(Banking_Data_100_Records[[#This Row],[Salary]]&gt;=80000,Banking_Data_100_Records[[#This Row],[Balance]]&gt;=300000),"Yes","No")</f>
        <v>Yes</v>
      </c>
      <c r="AA101" s="13" t="str">
        <f>IF(OR(Banking_Data_100_Records[[#This Row],[Salary]]&gt;=80000,Banking_Data_100_Records[[#This Row],[Balance]]&gt;=500000),"Special offer","Not")</f>
        <v>Special offer</v>
      </c>
      <c r="AB101" s="13" t="str">
        <f>IF(OR(Banking_Data_100_Records[[#This Row],[Loan Amount]]&gt;1500000,Banking_Data_100_Records[[#This Row],[Credit Score]]&gt;800),"Priority customer","Not")</f>
        <v>Not</v>
      </c>
    </row>
    <row r="102" spans="1:28" x14ac:dyDescent="0.35">
      <c r="A102" s="1"/>
      <c r="B102" s="1"/>
      <c r="C102" s="1"/>
      <c r="D102" s="1"/>
      <c r="E102" s="1"/>
      <c r="G102" s="1"/>
      <c r="M102" s="1"/>
      <c r="N102" s="1"/>
      <c r="P102" s="2"/>
      <c r="R102" s="1"/>
    </row>
    <row r="103" spans="1:28" x14ac:dyDescent="0.35">
      <c r="A103" t="s">
        <v>37</v>
      </c>
      <c r="B103">
        <f>COUNTIF(Banking_Data_100_Records[Loan Status],"Approved")</f>
        <v>34</v>
      </c>
    </row>
    <row r="104" spans="1:28" ht="15" thickBot="1" x14ac:dyDescent="0.4">
      <c r="A104" t="s">
        <v>233</v>
      </c>
      <c r="B104">
        <f>SUMIF(Banking_Data_100_Records[Loan Type],"Home",Banking_Data_100_Records[Loan Amount])</f>
        <v>21775000</v>
      </c>
    </row>
    <row r="105" spans="1:28" ht="15" thickTop="1" x14ac:dyDescent="0.35">
      <c r="A105" t="s">
        <v>44</v>
      </c>
      <c r="B105" s="4">
        <f>SUMIF(Banking_Data_100_Records[Transaction Type],"Deposit",Banking_Data_100_Records[Transaction Amount])</f>
        <v>2966500</v>
      </c>
    </row>
    <row r="106" spans="1:28" x14ac:dyDescent="0.35">
      <c r="A106" t="s">
        <v>21</v>
      </c>
      <c r="B106">
        <f>AVERAGEIF(Banking_Data_100_Records[Account Type],"Savings",Banking_Data_100_Records[Salary])</f>
        <v>79734.693877551021</v>
      </c>
    </row>
    <row r="107" spans="1:28" x14ac:dyDescent="0.35">
      <c r="A107" t="s">
        <v>234</v>
      </c>
      <c r="B107">
        <f>AVERAGEIFS(Banking_Data_100_Records[Loan Amount],Banking_Data_100_Records[Loan Status],"Approved",Banking_Data_100_Records[Branch],"Pune")</f>
        <v>1068000</v>
      </c>
    </row>
    <row r="108" spans="1:28" x14ac:dyDescent="0.35">
      <c r="A108" t="s">
        <v>235</v>
      </c>
      <c r="B108">
        <f>COUNTIF(Banking_Data_100_Records[Credit Score],"&gt;750")</f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826B59-4503-44B1-AD8D-17C541B937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Banking_Data_100_Records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2026-07-30T15:09:36Z</dcterms:created>
  <dcterms:modified xsi:type="dcterms:W3CDTF">2026-08-03T14:35:14Z</dcterms:modified>
</cp:coreProperties>
</file>